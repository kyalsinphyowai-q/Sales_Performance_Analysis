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4" documentId="13_ncr:9_{058877D4-DB64-44CB-8AF4-B27F461A8BF2}" xr6:coauthVersionLast="47" xr6:coauthVersionMax="47" xr10:uidLastSave="{AF631E89-C294-4A1A-876B-0989BE0A6EF1}"/>
  <bookViews>
    <workbookView xWindow="-120" yWindow="-120" windowWidth="29040" windowHeight="15840" firstSheet="3" activeTab="3" xr2:uid="{FD48DED9-72C5-45AA-8671-BD0ACC906915}"/>
  </bookViews>
  <sheets>
    <sheet name="Raw_data" sheetId="1" r:id="rId1"/>
    <sheet name="Clean_data" sheetId="2" r:id="rId2"/>
    <sheet name="Pivot_tables" sheetId="3" r:id="rId3"/>
    <sheet name="Dashboard" sheetId="5" r:id="rId4"/>
  </sheets>
  <calcPr calcId="191028"/>
  <pivotCaches>
    <pivotCache cacheId="54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2" l="1"/>
  <c r="H102" i="2"/>
  <c r="I102" i="2"/>
  <c r="J102" i="2"/>
  <c r="K102" i="2"/>
  <c r="C17" i="3"/>
  <c r="K1048576" i="2"/>
</calcChain>
</file>

<file path=xl/sharedStrings.xml><?xml version="1.0" encoding="utf-8"?>
<sst xmlns="http://schemas.openxmlformats.org/spreadsheetml/2006/main" count="1179" uniqueCount="163">
  <si>
    <t>Order_ID</t>
  </si>
  <si>
    <t>Order_Date</t>
  </si>
  <si>
    <t>Customer</t>
  </si>
  <si>
    <t>City</t>
  </si>
  <si>
    <t>Category</t>
  </si>
  <si>
    <t>Product</t>
  </si>
  <si>
    <t>Quantity</t>
  </si>
  <si>
    <t>Unit_Price</t>
  </si>
  <si>
    <t>Sales</t>
  </si>
  <si>
    <t>Cost</t>
  </si>
  <si>
    <t>Profit</t>
  </si>
  <si>
    <t>Payment</t>
  </si>
  <si>
    <t>ORD-0001</t>
  </si>
  <si>
    <t>Nandar</t>
  </si>
  <si>
    <t>Bangkok</t>
  </si>
  <si>
    <t>Electronics</t>
  </si>
  <si>
    <t>Laptop</t>
  </si>
  <si>
    <t>E-Wallet</t>
  </si>
  <si>
    <t>ORD-0002</t>
  </si>
  <si>
    <t>Mya Mya</t>
  </si>
  <si>
    <t>Chiang Mai</t>
  </si>
  <si>
    <t>ORD-0003</t>
  </si>
  <si>
    <t>Daniel</t>
  </si>
  <si>
    <t>Phuket</t>
  </si>
  <si>
    <t>Home</t>
  </si>
  <si>
    <t>Air Purifier</t>
  </si>
  <si>
    <t>Bank Transfer</t>
  </si>
  <si>
    <t>ORD-0004</t>
  </si>
  <si>
    <t>Su Su</t>
  </si>
  <si>
    <t>Pattaya</t>
  </si>
  <si>
    <t>Office</t>
  </si>
  <si>
    <t>Keyboard</t>
  </si>
  <si>
    <t>ORD-0005</t>
  </si>
  <si>
    <t>Printer</t>
  </si>
  <si>
    <t>ORD-0006</t>
  </si>
  <si>
    <t>May Thu</t>
  </si>
  <si>
    <t>Desk</t>
  </si>
  <si>
    <t>ORD-0007</t>
  </si>
  <si>
    <t>Webcam</t>
  </si>
  <si>
    <t>Cash</t>
  </si>
  <si>
    <t>ORD-0008</t>
  </si>
  <si>
    <t>Chair</t>
  </si>
  <si>
    <t>ORD-0009</t>
  </si>
  <si>
    <t>Monitor</t>
  </si>
  <si>
    <t>Card</t>
  </si>
  <si>
    <t>ORD-0010</t>
  </si>
  <si>
    <t>Accessories</t>
  </si>
  <si>
    <t>USB Cable</t>
  </si>
  <si>
    <t>ORD-0011</t>
  </si>
  <si>
    <t>Aung Aung</t>
  </si>
  <si>
    <t>Power Bank</t>
  </si>
  <si>
    <t>ORD-0012</t>
  </si>
  <si>
    <t>ORD-0013</t>
  </si>
  <si>
    <t>Ko Min</t>
  </si>
  <si>
    <t>Tablet</t>
  </si>
  <si>
    <t>ORD-0014</t>
  </si>
  <si>
    <t>ORD-0015</t>
  </si>
  <si>
    <t>Lisa</t>
  </si>
  <si>
    <t>ORD-0016</t>
  </si>
  <si>
    <t>Alex</t>
  </si>
  <si>
    <t>ORD-0017</t>
  </si>
  <si>
    <t>Headphones</t>
  </si>
  <si>
    <t>ORD-0018</t>
  </si>
  <si>
    <t>ORD-0019</t>
  </si>
  <si>
    <t>ORD-0020</t>
  </si>
  <si>
    <t>ORD-0021</t>
  </si>
  <si>
    <t>ORD-0022</t>
  </si>
  <si>
    <t>David</t>
  </si>
  <si>
    <t>ORD-0023</t>
  </si>
  <si>
    <t>ORD-0024</t>
  </si>
  <si>
    <t>Emily</t>
  </si>
  <si>
    <t>Backpack</t>
  </si>
  <si>
    <t>ORD-0025</t>
  </si>
  <si>
    <t>ORD-0026</t>
  </si>
  <si>
    <t>John</t>
  </si>
  <si>
    <t>ORD-0027</t>
  </si>
  <si>
    <t>ORD-0028</t>
  </si>
  <si>
    <t>Smartphone</t>
  </si>
  <si>
    <t>ORD-0029</t>
  </si>
  <si>
    <t>ORD-0030</t>
  </si>
  <si>
    <t>Mouse</t>
  </si>
  <si>
    <t>ORD-0031</t>
  </si>
  <si>
    <t>ORD-0032</t>
  </si>
  <si>
    <t>Coffee Maker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</si>
  <si>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</si>
  <si>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</si>
  <si>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</si>
  <si>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</si>
  <si>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</si>
  <si>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</si>
  <si>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</si>
  <si>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</si>
  <si>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</si>
  <si>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</si>
  <si>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</si>
  <si>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</si>
  <si>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</si>
  <si>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</si>
  <si>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</si>
  <si>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</si>
  <si>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</si>
  <si>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</si>
  <si>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</si>
  <si>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</si>
  <si>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</si>
  <si>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</si>
  <si>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</si>
  <si>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</si>
  <si>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</si>
  <si>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</si>
  <si>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</si>
  <si>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</si>
  <si>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</si>
  <si>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</si>
  <si>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</si>
  <si>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</si>
  <si>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</si>
  <si>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</si>
  <si>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</si>
  <si>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</si>
  <si>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</si>
  <si>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</si>
  <si>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</si>
  <si>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</si>
  <si>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</si>
  <si>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</si>
  <si>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</si>
  <si>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</si>
  <si>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</si>
  <si>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</si>
  <si>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</si>
  <si>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</si>
  <si>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</si>
  <si>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</si>
  <si>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</si>
  <si>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</si>
  <si>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</si>
  <si>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</si>
  <si>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</si>
  <si>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</si>
  <si>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</si>
  <si>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</si>
  <si>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</si>
  <si>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</si>
  <si>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</si>
  <si>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</si>
  <si>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</si>
  <si>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</si>
  <si>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</si>
  <si>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</si>
  <si>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</si>
  <si>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</si>
  <si>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Sum of Sales</t>
  </si>
  <si>
    <t>Grand Total</t>
  </si>
  <si>
    <t>Sum of Profit</t>
  </si>
  <si>
    <t>Month</t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</si>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</sst>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4" fontId="0" fillId="0" borderId="0" xfId="1" applyNumberFormat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2"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numFmt numFmtId="34" formatCode="_(&quot;$&quot;* #,##0.00_);_(&quot;$&quot;* \(#,##0.00\);_(&quot;$&quot;* &quot;-&quot;??_);_(@_)"/>
    </dxf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[Project_1_Sales_Analysis.xlsx]Pivot_tables!PivotTable4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Pivot_tables!$A$29:$A$36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Pivot_tables!$B$29:$B$36</c:f>
              <c:numCache>
                <c:formatCode>_("$"* #,##0.00_);_("$"* \(#,##0.00\);_("$"* "-"??_);_(@_)</c:formatCode>
                <c:ptCount val="7"/>
                <c:pt idx="0">
                  <c:v>22191.8</c:v>
                </c:pt>
                <c:pt idx="1">
                  <c:v>11545.539999999999</c:v>
                </c:pt>
                <c:pt idx="2">
                  <c:v>11981.050000000003</c:v>
                </c:pt>
                <c:pt idx="3">
                  <c:v>9514.779999999997</c:v>
                </c:pt>
                <c:pt idx="4">
                  <c:v>17279.54</c:v>
                </c:pt>
                <c:pt idx="5">
                  <c:v>7423.2900000000009</c:v>
                </c:pt>
                <c:pt idx="6">
                  <c:v>177.34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E-4F8D-B10A-6432F770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245160"/>
        <c:axId val="507254160"/>
      </c:lineChart>
      <c:catAx>
        <c:axId val="50724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7254160"/>
        <c:crosses val="autoZero"/>
        <c:auto val="1"/>
        <c:lblAlgn val="ctr"/>
        <c:lblOffset val="100"/>
        <c:noMultiLvlLbl val="0"/>
      </c:catAx>
      <c:valAx>
        <c:axId val="5072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724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[Project_1_Sales_Analysis.xlsx]Pivot_tables!PivotTable1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Pivot_tables!$A$4:$A$8</c:f>
              <c:strCache>
                <c:ptCount val="4"/>
                <c:pt idx="0">
                  <c:v>Bangkok</c:v>
                </c:pt>
                <c:pt idx="1">
                  <c:v>Chiang Mai</c:v>
                </c:pt>
                <c:pt idx="2">
                  <c:v>Pattaya</c:v>
                </c:pt>
                <c:pt idx="3">
                  <c:v>Phuket</c:v>
                </c:pt>
              </c:strCache>
            </c:strRef>
          </c:cat>
          <c:val>
            <c:numRef>
              <c:f>Pivot_tables!$B$4:$B$8</c:f>
              <c:numCache>
                <c:formatCode>_("$"* #,##0.00_);_("$"* \(#,##0.00\);_("$"* "-"??_);_(@_)</c:formatCode>
                <c:ptCount val="4"/>
                <c:pt idx="0">
                  <c:v>17934.090000000004</c:v>
                </c:pt>
                <c:pt idx="1">
                  <c:v>21855.59</c:v>
                </c:pt>
                <c:pt idx="2">
                  <c:v>16504.180000000004</c:v>
                </c:pt>
                <c:pt idx="3">
                  <c:v>23819.48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E-4DFB-896C-787235695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7256680"/>
        <c:axId val="507258840"/>
      </c:barChart>
      <c:catAx>
        <c:axId val="507256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7258840"/>
        <c:crosses val="autoZero"/>
        <c:auto val="1"/>
        <c:lblAlgn val="ctr"/>
        <c:lblOffset val="100"/>
        <c:noMultiLvlLbl val="0"/>
      </c:catAx>
      <c:valAx>
        <c:axId val="50725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0725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[Project_1_Sales_Analysis.xlsx]Pivot_tables!PivotTable6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Pivot_tables!$F$19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Pivot_tables!$E$20:$E$24</c:f>
              <c:strCache>
                <c:ptCount val="4"/>
                <c:pt idx="0">
                  <c:v>Electronics</c:v>
                </c:pt>
                <c:pt idx="1">
                  <c:v>Office</c:v>
                </c:pt>
                <c:pt idx="2">
                  <c:v>Home</c:v>
                </c:pt>
                <c:pt idx="3">
                  <c:v>Accessories</c:v>
                </c:pt>
              </c:strCache>
            </c:strRef>
          </c:cat>
          <c:val>
            <c:numRef>
              <c:f>Pivot_tables!$F$20:$F$24</c:f>
              <c:numCache>
                <c:formatCode>_("$"* #,##0.00_);_("$"* \(#,##0.00\);_("$"* "-"??_);_(@_)</c:formatCode>
                <c:ptCount val="4"/>
                <c:pt idx="0">
                  <c:v>48355.840000000004</c:v>
                </c:pt>
                <c:pt idx="1">
                  <c:v>13079.909999999998</c:v>
                </c:pt>
                <c:pt idx="2">
                  <c:v>12861.45</c:v>
                </c:pt>
                <c:pt idx="3">
                  <c:v>5816.14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F-4146-B0D0-8D13E357C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949800"/>
        <c:axId val="613951600"/>
      </c:barChart>
      <c:catAx>
        <c:axId val="61394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13951600"/>
        <c:crosses val="autoZero"/>
        <c:auto val="1"/>
        <c:lblAlgn val="ctr"/>
        <c:lblOffset val="100"/>
        <c:noMultiLvlLbl val="0"/>
      </c:catAx>
      <c:valAx>
        <c:axId val="6139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1394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[Project_1_Sales_Analysis.xlsx]Pivot_tables!PivotTable3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h-T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Pivot_tables!$A$20:$A$25</c:f>
              <c:strCache>
                <c:ptCount val="5"/>
                <c:pt idx="0">
                  <c:v>Air Purifier</c:v>
                </c:pt>
                <c:pt idx="1">
                  <c:v>Tablet</c:v>
                </c:pt>
                <c:pt idx="2">
                  <c:v>Smartphone</c:v>
                </c:pt>
                <c:pt idx="3">
                  <c:v>Monitor</c:v>
                </c:pt>
                <c:pt idx="4">
                  <c:v>Laptop</c:v>
                </c:pt>
              </c:strCache>
            </c:strRef>
          </c:cat>
          <c:val>
            <c:numRef>
              <c:f>Pivot_tables!$B$20:$B$25</c:f>
              <c:numCache>
                <c:formatCode>_("$"* #,##0.00_);_("$"* \(#,##0.00\);_("$"* "-"??_);_(@_)</c:formatCode>
                <c:ptCount val="5"/>
                <c:pt idx="0">
                  <c:v>7993.4900000000007</c:v>
                </c:pt>
                <c:pt idx="1">
                  <c:v>9187.27</c:v>
                </c:pt>
                <c:pt idx="2">
                  <c:v>10138.75</c:v>
                </c:pt>
                <c:pt idx="3">
                  <c:v>10329.73</c:v>
                </c:pt>
                <c:pt idx="4">
                  <c:v>18700.09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E-4904-88EA-956A470E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6480888"/>
        <c:axId val="276480528"/>
      </c:barChart>
      <c:catAx>
        <c:axId val="27648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76480528"/>
        <c:crosses val="autoZero"/>
        <c:auto val="1"/>
        <c:lblAlgn val="ctr"/>
        <c:lblOffset val="100"/>
        <c:noMultiLvlLbl val="0"/>
      </c:catAx>
      <c:valAx>
        <c:axId val="27648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7648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7</xdr:col>
      <xdr:colOff>457200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91AF8-5FDB-4B72-9B25-57564FD5D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0</xdr:rowOff>
    </xdr:from>
    <xdr:to>
      <xdr:col>15</xdr:col>
      <xdr:colOff>457200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5C1A78-9274-4124-B2D9-78E1F2B6D018}"/>
            </a:ext>
            <a:ext uri="{147F2762-F138-4A5C-976F-8EAC2B608ADB}">
              <a16:predDERef xmlns:a16="http://schemas.microsoft.com/office/drawing/2014/main" pred="{6F591AF8-5FDB-4B72-9B25-57564FD5D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42787</xdr:rowOff>
    </xdr:from>
    <xdr:to>
      <xdr:col>7</xdr:col>
      <xdr:colOff>457200</xdr:colOff>
      <xdr:row>35</xdr:row>
      <xdr:rowOff>71362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4A38D3-B7D9-497B-B18F-1AE833CB4364}"/>
            </a:ext>
            <a:ext uri="{147F2762-F138-4A5C-976F-8EAC2B608ADB}">
              <a16:predDERef xmlns:a16="http://schemas.microsoft.com/office/drawing/2014/main" pred="{7A5C1A78-9274-4124-B2D9-78E1F2B6D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15</xdr:col>
      <xdr:colOff>457200</xdr:colOff>
      <xdr:row>35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7929A6-67C8-449C-80B3-D0BD045A3E8A}"/>
            </a:ext>
            <a:ext uri="{147F2762-F138-4A5C-976F-8EAC2B608ADB}">
              <a16:predDERef xmlns:a16="http://schemas.microsoft.com/office/drawing/2014/main" pred="{3B4A38D3-B7D9-497B-B18F-1AE833CB4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479110300927" createdVersion="8" refreshedVersion="8" minRefreshableVersion="3" recordCount="100" xr:uid="{6D1AAACA-016D-444F-BB8C-2E77CCBE75E3}">
  <cacheSource type="worksheet">
    <worksheetSource name="Table1"/>
  </cacheSource>
  <cacheFields count="14">
    <cacheField name="Order_ID" numFmtId="0">
      <sharedItems containsSemiMixedTypes="0" containsString="0" containsNumber="1" containsInteger="1" minValue="1" maxValue="100"/>
    </cacheField>
    <cacheField name="Order_Date" numFmtId="14">
      <sharedItems containsSemiMixedTypes="0" containsNonDate="0" containsDate="1" containsString="0" minDate="2026-01-01T00:00:00" maxDate="2026-07-02T00:00:00" count="74">
        <d v="2026-01-27T00:00:00"/>
        <d v="2026-01-07T00:00:00"/>
        <d v="2026-02-10T00:00:00"/>
        <d v="2026-04-08T00:00:00"/>
        <d v="2026-04-07T00:00:00"/>
        <d v="2026-01-21T00:00:00"/>
        <d v="2026-04-01T00:00:00"/>
        <d v="2026-06-13T00:00:00"/>
        <d v="2026-01-17T00:00:00"/>
        <d v="2026-02-05T00:00:00"/>
        <d v="2026-01-24T00:00:00"/>
        <d v="2026-04-30T00:00:00"/>
        <d v="2026-04-22T00:00:00"/>
        <d v="2026-03-18T00:00:00"/>
        <d v="2026-06-03T00:00:00"/>
        <d v="2026-03-03T00:00:00"/>
        <d v="2026-02-02T00:00:00"/>
        <d v="2026-06-26T00:00:00"/>
        <d v="2026-02-27T00:00:00"/>
        <d v="2026-01-09T00:00:00"/>
        <d v="2026-05-27T00:00:00"/>
        <d v="2026-01-28T00:00:00"/>
        <d v="2026-01-20T00:00:00"/>
        <d v="2026-05-05T00:00:00"/>
        <d v="2026-04-27T00:00:00"/>
        <d v="2026-05-19T00:00:00"/>
        <d v="2026-05-11T00:00:00"/>
        <d v="2026-06-02T00:00:00"/>
        <d v="2026-04-12T00:00:00"/>
        <d v="2026-01-26T00:00:00"/>
        <d v="2026-03-09T00:00:00"/>
        <d v="2026-03-27T00:00:00"/>
        <d v="2026-01-11T00:00:00"/>
        <d v="2026-02-09T00:00:00"/>
        <d v="2026-04-16T00:00:00"/>
        <d v="2026-02-26T00:00:00"/>
        <d v="2026-03-13T00:00:00"/>
        <d v="2026-03-08T00:00:00"/>
        <d v="2026-05-18T00:00:00"/>
        <d v="2026-06-19T00:00:00"/>
        <d v="2026-02-19T00:00:00"/>
        <d v="2026-02-23T00:00:00"/>
        <d v="2026-02-13T00:00:00"/>
        <d v="2026-01-19T00:00:00"/>
        <d v="2026-01-02T00:00:00"/>
        <d v="2026-02-01T00:00:00"/>
        <d v="2026-05-21T00:00:00"/>
        <d v="2026-05-14T00:00:00"/>
        <d v="2026-03-23T00:00:00"/>
        <d v="2026-05-30T00:00:00"/>
        <d v="2026-04-18T00:00:00"/>
        <d v="2026-06-21T00:00:00"/>
        <d v="2026-04-11T00:00:00"/>
        <d v="2026-01-18T00:00:00"/>
        <d v="2026-01-30T00:00:00"/>
        <d v="2026-02-20T00:00:00"/>
        <d v="2026-03-30T00:00:00"/>
        <d v="2026-03-11T00:00:00"/>
        <d v="2026-01-23T00:00:00"/>
        <d v="2026-02-16T00:00:00"/>
        <d v="2026-03-12T00:00:00"/>
        <d v="2026-03-04T00:00:00"/>
        <d v="2026-06-29T00:00:00"/>
        <d v="2026-05-15T00:00:00"/>
        <d v="2026-07-01T00:00:00"/>
        <d v="2026-05-06T00:00:00"/>
        <d v="2026-03-06T00:00:00"/>
        <d v="2026-05-25T00:00:00"/>
        <d v="2026-01-01T00:00:00"/>
        <d v="2026-03-10T00:00:00"/>
        <d v="2026-04-23T00:00:00"/>
        <d v="2026-01-06T00:00:00"/>
        <d v="2026-06-10T00:00:00"/>
        <d v="2026-05-20T00:00:00"/>
      </sharedItems>
      <fieldGroup par="13"/>
    </cacheField>
    <cacheField name="Customer" numFmtId="0">
      <sharedItems count="12">
        <s v="Nandar"/>
        <s v="Mya Mya"/>
        <s v="Daniel"/>
        <s v="Su Su"/>
        <s v="May Thu"/>
        <s v="Aung Aung"/>
        <s v="Ko Min"/>
        <s v="Lisa"/>
        <s v="Alex"/>
        <s v="David"/>
        <s v="Emily"/>
        <s v="John"/>
      </sharedItems>
    </cacheField>
    <cacheField name="City" numFmtId="0">
      <sharedItems count="4">
        <s v="Bangkok"/>
        <s v="Chiang Mai"/>
        <s v="Phuket"/>
        <s v="Pattaya"/>
      </sharedItems>
    </cacheField>
    <cacheField name="Category" numFmtId="0">
      <sharedItems count="4">
        <s v="Electronics"/>
        <s v="Home"/>
        <s v="Office"/>
        <s v="Accessories"/>
      </sharedItems>
    </cacheField>
    <cacheField name="Product" numFmtId="0">
      <sharedItems count="16">
        <s v="Laptop"/>
        <s v="Air Purifier"/>
        <s v="Keyboard"/>
        <s v="Printer"/>
        <s v="Desk"/>
        <s v="Webcam"/>
        <s v="Chair"/>
        <s v="Monitor"/>
        <s v="USB Cable"/>
        <s v="Power Bank"/>
        <s v="Tablet"/>
        <s v="Headphones"/>
        <s v="Backpack"/>
        <s v="Smartphone"/>
        <s v="Mouse"/>
        <s v="Coffee Maker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44">
      <sharedItems containsSemiMixedTypes="0" containsString="0" containsNumber="1" minValue="7.18" maxValue="1399.94"/>
    </cacheField>
    <cacheField name="Sales" numFmtId="44">
      <sharedItems containsSemiMixedTypes="0" containsString="0" containsNumber="1" minValue="7.59" maxValue="4199.82"/>
    </cacheField>
    <cacheField name="Cost" numFmtId="44">
      <sharedItems containsSemiMixedTypes="0" containsString="0" containsNumber="1" minValue="4.49" maxValue="2564.16"/>
    </cacheField>
    <cacheField name="Profit" numFmtId="44">
      <sharedItems containsSemiMixedTypes="0" containsString="0" containsNumber="1" minValue="3.1" maxValue="1635.66"/>
    </cacheField>
    <cacheField name="Payment" numFmtId="0">
      <sharedItems/>
    </cacheField>
    <cacheField name="Days (Order_Date)" numFmtId="0" databaseField="0">
      <fieldGroup base="1">
        <rangePr groupBy="days" startDate="2026-01-01T00:00:00" endDate="2026-07-02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/2026"/>
        </groupItems>
      </fieldGroup>
    </cacheField>
    <cacheField name="Months (Order_Date)" numFmtId="0" databaseField="0">
      <fieldGroup base="1">
        <rangePr groupBy="months" startDate="2026-01-01T00:00:00" endDate="2026-07-02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x v="0"/>
    <n v="2"/>
    <n v="1219.0899999999999"/>
    <n v="2438.1799999999998"/>
    <n v="1487.94"/>
    <n v="950.24"/>
    <s v="E-Wallet"/>
  </r>
  <r>
    <n v="2"/>
    <x v="1"/>
    <x v="1"/>
    <x v="1"/>
    <x v="0"/>
    <x v="0"/>
    <n v="2"/>
    <n v="765.59"/>
    <n v="1531.18"/>
    <n v="1051.07"/>
    <n v="480.11"/>
    <s v="E-Wallet"/>
  </r>
  <r>
    <n v="3"/>
    <x v="2"/>
    <x v="2"/>
    <x v="2"/>
    <x v="1"/>
    <x v="1"/>
    <n v="1"/>
    <n v="276.77999999999997"/>
    <n v="276.77999999999997"/>
    <n v="208.94"/>
    <n v="67.84"/>
    <s v="Bank Transfer"/>
  </r>
  <r>
    <n v="4"/>
    <x v="3"/>
    <x v="3"/>
    <x v="3"/>
    <x v="2"/>
    <x v="2"/>
    <n v="3"/>
    <n v="41.53"/>
    <n v="124.59"/>
    <n v="71.959999999999994"/>
    <n v="52.63"/>
    <s v="Bank Transfer"/>
  </r>
  <r>
    <n v="5"/>
    <x v="4"/>
    <x v="3"/>
    <x v="3"/>
    <x v="2"/>
    <x v="3"/>
    <n v="5"/>
    <n v="355.41"/>
    <n v="1777.05"/>
    <n v="1037.27"/>
    <n v="739.78"/>
    <s v="Bank Transfer"/>
  </r>
  <r>
    <n v="6"/>
    <x v="5"/>
    <x v="4"/>
    <x v="0"/>
    <x v="1"/>
    <x v="4"/>
    <n v="2"/>
    <n v="130.54"/>
    <n v="261.08"/>
    <n v="198.09"/>
    <n v="62.99"/>
    <s v="E-Wallet"/>
  </r>
  <r>
    <n v="7"/>
    <x v="6"/>
    <x v="4"/>
    <x v="3"/>
    <x v="2"/>
    <x v="5"/>
    <n v="3"/>
    <n v="106.28"/>
    <n v="318.83999999999997"/>
    <n v="189.36"/>
    <n v="129.47999999999999"/>
    <s v="Cash"/>
  </r>
  <r>
    <n v="8"/>
    <x v="7"/>
    <x v="2"/>
    <x v="1"/>
    <x v="1"/>
    <x v="6"/>
    <n v="4"/>
    <n v="112.68"/>
    <n v="450.72"/>
    <n v="280.75"/>
    <n v="169.97"/>
    <s v="Bank Transfer"/>
  </r>
  <r>
    <n v="9"/>
    <x v="8"/>
    <x v="4"/>
    <x v="3"/>
    <x v="0"/>
    <x v="7"/>
    <n v="3"/>
    <n v="401.89"/>
    <n v="1205.67"/>
    <n v="793.71"/>
    <n v="411.96"/>
    <s v="Card"/>
  </r>
  <r>
    <n v="10"/>
    <x v="9"/>
    <x v="4"/>
    <x v="3"/>
    <x v="3"/>
    <x v="8"/>
    <n v="4"/>
    <n v="35.96"/>
    <n v="143.84"/>
    <n v="84.66"/>
    <n v="59.18"/>
    <s v="E-Wallet"/>
  </r>
  <r>
    <n v="11"/>
    <x v="10"/>
    <x v="5"/>
    <x v="0"/>
    <x v="3"/>
    <x v="9"/>
    <n v="2"/>
    <n v="37.549999999999997"/>
    <n v="75.099999999999994"/>
    <n v="51.64"/>
    <n v="23.46"/>
    <s v="Card"/>
  </r>
  <r>
    <n v="12"/>
    <x v="11"/>
    <x v="1"/>
    <x v="3"/>
    <x v="1"/>
    <x v="1"/>
    <n v="4"/>
    <n v="278.92"/>
    <n v="1115.68"/>
    <n v="728.58"/>
    <n v="387.1"/>
    <s v="Cash"/>
  </r>
  <r>
    <n v="13"/>
    <x v="12"/>
    <x v="6"/>
    <x v="2"/>
    <x v="0"/>
    <x v="10"/>
    <n v="3"/>
    <n v="595.87"/>
    <n v="1787.61"/>
    <n v="1037.03"/>
    <n v="750.58"/>
    <s v="Cash"/>
  </r>
  <r>
    <n v="14"/>
    <x v="13"/>
    <x v="0"/>
    <x v="1"/>
    <x v="2"/>
    <x v="2"/>
    <n v="1"/>
    <n v="70.77"/>
    <n v="70.77"/>
    <n v="55.56"/>
    <n v="15.21"/>
    <s v="Card"/>
  </r>
  <r>
    <n v="15"/>
    <x v="14"/>
    <x v="7"/>
    <x v="2"/>
    <x v="2"/>
    <x v="2"/>
    <n v="5"/>
    <n v="73.94"/>
    <n v="369.7"/>
    <n v="295.02"/>
    <n v="74.680000000000007"/>
    <s v="Cash"/>
  </r>
  <r>
    <n v="16"/>
    <x v="15"/>
    <x v="8"/>
    <x v="0"/>
    <x v="0"/>
    <x v="10"/>
    <n v="3"/>
    <n v="645.41999999999996"/>
    <n v="1936.26"/>
    <n v="1190.1300000000001"/>
    <n v="746.13"/>
    <s v="Cash"/>
  </r>
  <r>
    <n v="17"/>
    <x v="16"/>
    <x v="0"/>
    <x v="2"/>
    <x v="3"/>
    <x v="11"/>
    <n v="5"/>
    <n v="215.82"/>
    <n v="1079.0999999999999"/>
    <n v="816.64"/>
    <n v="262.45999999999998"/>
    <s v="Card"/>
  </r>
  <r>
    <n v="18"/>
    <x v="17"/>
    <x v="4"/>
    <x v="3"/>
    <x v="2"/>
    <x v="5"/>
    <n v="5"/>
    <n v="145.72"/>
    <n v="728.6"/>
    <n v="549.30999999999995"/>
    <n v="179.29"/>
    <s v="E-Wallet"/>
  </r>
  <r>
    <n v="19"/>
    <x v="18"/>
    <x v="3"/>
    <x v="3"/>
    <x v="2"/>
    <x v="5"/>
    <n v="4"/>
    <n v="137.94999999999999"/>
    <n v="551.79999999999995"/>
    <n v="321.52"/>
    <n v="230.28"/>
    <s v="Cash"/>
  </r>
  <r>
    <n v="20"/>
    <x v="19"/>
    <x v="7"/>
    <x v="0"/>
    <x v="1"/>
    <x v="6"/>
    <n v="1"/>
    <n v="81.44"/>
    <n v="81.44"/>
    <n v="49.83"/>
    <n v="31.61"/>
    <s v="Card"/>
  </r>
  <r>
    <n v="21"/>
    <x v="20"/>
    <x v="8"/>
    <x v="2"/>
    <x v="2"/>
    <x v="5"/>
    <n v="2"/>
    <n v="55.71"/>
    <n v="111.42"/>
    <n v="83.04"/>
    <n v="28.38"/>
    <s v="Card"/>
  </r>
  <r>
    <n v="22"/>
    <x v="6"/>
    <x v="9"/>
    <x v="2"/>
    <x v="3"/>
    <x v="8"/>
    <n v="1"/>
    <n v="11.66"/>
    <n v="11.66"/>
    <n v="8.49"/>
    <n v="3.17"/>
    <s v="E-Wallet"/>
  </r>
  <r>
    <n v="23"/>
    <x v="21"/>
    <x v="4"/>
    <x v="1"/>
    <x v="0"/>
    <x v="0"/>
    <n v="3"/>
    <n v="742.43"/>
    <n v="2227.29"/>
    <n v="1706.46"/>
    <n v="520.83000000000004"/>
    <s v="Card"/>
  </r>
  <r>
    <n v="24"/>
    <x v="22"/>
    <x v="10"/>
    <x v="0"/>
    <x v="3"/>
    <x v="12"/>
    <n v="3"/>
    <n v="65.08"/>
    <n v="195.24"/>
    <n v="131.77000000000001"/>
    <n v="63.47"/>
    <s v="Cash"/>
  </r>
  <r>
    <n v="25"/>
    <x v="23"/>
    <x v="10"/>
    <x v="1"/>
    <x v="0"/>
    <x v="0"/>
    <n v="2"/>
    <n v="1348.46"/>
    <n v="2696.92"/>
    <n v="1604.41"/>
    <n v="1092.51"/>
    <s v="E-Wallet"/>
  </r>
  <r>
    <n v="26"/>
    <x v="24"/>
    <x v="11"/>
    <x v="2"/>
    <x v="0"/>
    <x v="7"/>
    <n v="4"/>
    <n v="282.32"/>
    <n v="1129.28"/>
    <n v="701.97"/>
    <n v="427.31"/>
    <s v="E-Wallet"/>
  </r>
  <r>
    <n v="27"/>
    <x v="25"/>
    <x v="5"/>
    <x v="3"/>
    <x v="1"/>
    <x v="6"/>
    <n v="1"/>
    <n v="139.34"/>
    <n v="139.34"/>
    <n v="98.43"/>
    <n v="40.909999999999997"/>
    <s v="Cash"/>
  </r>
  <r>
    <n v="28"/>
    <x v="26"/>
    <x v="3"/>
    <x v="1"/>
    <x v="0"/>
    <x v="13"/>
    <n v="5"/>
    <n v="652"/>
    <n v="3260"/>
    <n v="1931.57"/>
    <n v="1328.43"/>
    <s v="Cash"/>
  </r>
  <r>
    <n v="29"/>
    <x v="27"/>
    <x v="5"/>
    <x v="0"/>
    <x v="0"/>
    <x v="7"/>
    <n v="5"/>
    <n v="289.02"/>
    <n v="1445.1"/>
    <n v="890.87"/>
    <n v="554.23"/>
    <s v="E-Wallet"/>
  </r>
  <r>
    <n v="30"/>
    <x v="28"/>
    <x v="6"/>
    <x v="3"/>
    <x v="2"/>
    <x v="14"/>
    <n v="3"/>
    <n v="24.3"/>
    <n v="72.900000000000006"/>
    <n v="44.79"/>
    <n v="28.11"/>
    <s v="E-Wallet"/>
  </r>
  <r>
    <n v="31"/>
    <x v="29"/>
    <x v="3"/>
    <x v="1"/>
    <x v="2"/>
    <x v="3"/>
    <n v="5"/>
    <n v="103.26"/>
    <n v="516.29999999999995"/>
    <n v="423.15"/>
    <n v="93.15"/>
    <s v="Bank Transfer"/>
  </r>
  <r>
    <n v="32"/>
    <x v="2"/>
    <x v="10"/>
    <x v="3"/>
    <x v="1"/>
    <x v="15"/>
    <n v="2"/>
    <n v="199.75"/>
    <n v="399.5"/>
    <n v="259.58"/>
    <n v="139.91999999999999"/>
    <s v="Cash"/>
  </r>
  <r>
    <n v="33"/>
    <x v="21"/>
    <x v="2"/>
    <x v="1"/>
    <x v="2"/>
    <x v="3"/>
    <n v="2"/>
    <n v="428.63"/>
    <n v="857.26"/>
    <n v="532.71"/>
    <n v="324.55"/>
    <s v="Bank Transfer"/>
  </r>
  <r>
    <n v="34"/>
    <x v="30"/>
    <x v="1"/>
    <x v="2"/>
    <x v="2"/>
    <x v="2"/>
    <n v="2"/>
    <n v="91.76"/>
    <n v="183.52"/>
    <n v="135"/>
    <n v="48.52"/>
    <s v="Bank Transfer"/>
  </r>
  <r>
    <n v="35"/>
    <x v="31"/>
    <x v="6"/>
    <x v="3"/>
    <x v="0"/>
    <x v="0"/>
    <n v="3"/>
    <n v="1144"/>
    <n v="3432"/>
    <n v="1928.45"/>
    <n v="1503.55"/>
    <s v="Card"/>
  </r>
  <r>
    <n v="36"/>
    <x v="17"/>
    <x v="6"/>
    <x v="0"/>
    <x v="3"/>
    <x v="8"/>
    <n v="1"/>
    <n v="24.63"/>
    <n v="24.63"/>
    <n v="14.05"/>
    <n v="10.58"/>
    <s v="Bank Transfer"/>
  </r>
  <r>
    <n v="37"/>
    <x v="32"/>
    <x v="7"/>
    <x v="1"/>
    <x v="1"/>
    <x v="1"/>
    <n v="3"/>
    <n v="138.22999999999999"/>
    <n v="414.69"/>
    <n v="268.91000000000003"/>
    <n v="145.78"/>
    <s v="Card"/>
  </r>
  <r>
    <n v="38"/>
    <x v="33"/>
    <x v="4"/>
    <x v="1"/>
    <x v="0"/>
    <x v="10"/>
    <n v="4"/>
    <n v="601.04999999999995"/>
    <n v="2404.1999999999998"/>
    <n v="1954.46"/>
    <n v="449.74"/>
    <s v="Card"/>
  </r>
  <r>
    <n v="39"/>
    <x v="34"/>
    <x v="0"/>
    <x v="1"/>
    <x v="3"/>
    <x v="11"/>
    <n v="3"/>
    <n v="64.08"/>
    <n v="192.24"/>
    <n v="146.34"/>
    <n v="45.9"/>
    <s v="Bank Transfer"/>
  </r>
  <r>
    <n v="40"/>
    <x v="35"/>
    <x v="4"/>
    <x v="2"/>
    <x v="1"/>
    <x v="4"/>
    <n v="1"/>
    <n v="207.98"/>
    <n v="207.98"/>
    <n v="162.6"/>
    <n v="45.38"/>
    <s v="Bank Transfer"/>
  </r>
  <r>
    <n v="41"/>
    <x v="36"/>
    <x v="3"/>
    <x v="3"/>
    <x v="2"/>
    <x v="2"/>
    <n v="2"/>
    <n v="42.29"/>
    <n v="84.58"/>
    <n v="55.62"/>
    <n v="28.96"/>
    <s v="Bank Transfer"/>
  </r>
  <r>
    <n v="42"/>
    <x v="37"/>
    <x v="6"/>
    <x v="3"/>
    <x v="3"/>
    <x v="9"/>
    <n v="1"/>
    <n v="95.14"/>
    <n v="95.14"/>
    <n v="74.86"/>
    <n v="20.28"/>
    <s v="Cash"/>
  </r>
  <r>
    <n v="43"/>
    <x v="26"/>
    <x v="3"/>
    <x v="2"/>
    <x v="0"/>
    <x v="13"/>
    <n v="3"/>
    <n v="541.98"/>
    <n v="1625.94"/>
    <n v="1085.8499999999999"/>
    <n v="540.09"/>
    <s v="Card"/>
  </r>
  <r>
    <n v="44"/>
    <x v="38"/>
    <x v="0"/>
    <x v="1"/>
    <x v="2"/>
    <x v="3"/>
    <n v="1"/>
    <n v="348.07"/>
    <n v="348.07"/>
    <n v="240.3"/>
    <n v="107.77"/>
    <s v="Bank Transfer"/>
  </r>
  <r>
    <n v="45"/>
    <x v="39"/>
    <x v="3"/>
    <x v="3"/>
    <x v="3"/>
    <x v="11"/>
    <n v="3"/>
    <n v="210.29"/>
    <n v="630.87"/>
    <n v="453.12"/>
    <n v="177.75"/>
    <s v="Bank Transfer"/>
  </r>
  <r>
    <n v="46"/>
    <x v="40"/>
    <x v="9"/>
    <x v="2"/>
    <x v="3"/>
    <x v="9"/>
    <n v="3"/>
    <n v="52.19"/>
    <n v="156.57"/>
    <n v="109.55"/>
    <n v="47.02"/>
    <s v="Card"/>
  </r>
  <r>
    <n v="47"/>
    <x v="41"/>
    <x v="9"/>
    <x v="3"/>
    <x v="2"/>
    <x v="5"/>
    <n v="1"/>
    <n v="95.75"/>
    <n v="95.75"/>
    <n v="60.52"/>
    <n v="35.229999999999997"/>
    <s v="E-Wallet"/>
  </r>
  <r>
    <n v="48"/>
    <x v="42"/>
    <x v="0"/>
    <x v="0"/>
    <x v="3"/>
    <x v="8"/>
    <n v="5"/>
    <n v="28.65"/>
    <n v="143.25"/>
    <n v="97.09"/>
    <n v="46.16"/>
    <s v="Bank Transfer"/>
  </r>
  <r>
    <n v="49"/>
    <x v="18"/>
    <x v="4"/>
    <x v="1"/>
    <x v="2"/>
    <x v="3"/>
    <n v="2"/>
    <n v="386.45"/>
    <n v="772.9"/>
    <n v="565.5"/>
    <n v="207.4"/>
    <s v="Cash"/>
  </r>
  <r>
    <n v="50"/>
    <x v="43"/>
    <x v="10"/>
    <x v="2"/>
    <x v="0"/>
    <x v="7"/>
    <n v="5"/>
    <n v="445.66"/>
    <n v="2228.3000000000002"/>
    <n v="1736.8"/>
    <n v="491.5"/>
    <s v="Card"/>
  </r>
  <r>
    <n v="51"/>
    <x v="44"/>
    <x v="3"/>
    <x v="2"/>
    <x v="3"/>
    <x v="8"/>
    <n v="2"/>
    <n v="18.989999999999998"/>
    <n v="37.979999999999997"/>
    <n v="27.62"/>
    <n v="10.36"/>
    <s v="Card"/>
  </r>
  <r>
    <n v="52"/>
    <x v="45"/>
    <x v="10"/>
    <x v="1"/>
    <x v="1"/>
    <x v="1"/>
    <n v="2"/>
    <n v="115.07"/>
    <n v="230.14"/>
    <n v="183.59"/>
    <n v="46.55"/>
    <s v="E-Wallet"/>
  </r>
  <r>
    <n v="53"/>
    <x v="46"/>
    <x v="10"/>
    <x v="1"/>
    <x v="2"/>
    <x v="5"/>
    <n v="5"/>
    <n v="103.52"/>
    <n v="517.6"/>
    <n v="344.32"/>
    <n v="173.28"/>
    <s v="E-Wallet"/>
  </r>
  <r>
    <n v="54"/>
    <x v="47"/>
    <x v="10"/>
    <x v="1"/>
    <x v="3"/>
    <x v="9"/>
    <n v="3"/>
    <n v="80.14"/>
    <n v="240.42"/>
    <n v="181.94"/>
    <n v="58.48"/>
    <s v="Bank Transfer"/>
  </r>
  <r>
    <n v="55"/>
    <x v="48"/>
    <x v="1"/>
    <x v="0"/>
    <x v="3"/>
    <x v="11"/>
    <n v="2"/>
    <n v="165.57"/>
    <n v="331.14"/>
    <n v="206.42"/>
    <n v="124.72"/>
    <s v="Card"/>
  </r>
  <r>
    <n v="56"/>
    <x v="8"/>
    <x v="9"/>
    <x v="2"/>
    <x v="1"/>
    <x v="6"/>
    <n v="2"/>
    <n v="156.61000000000001"/>
    <n v="313.22000000000003"/>
    <n v="232.01"/>
    <n v="81.209999999999994"/>
    <s v="Bank Transfer"/>
  </r>
  <r>
    <n v="57"/>
    <x v="49"/>
    <x v="2"/>
    <x v="0"/>
    <x v="3"/>
    <x v="8"/>
    <n v="4"/>
    <n v="7.18"/>
    <n v="28.72"/>
    <n v="18.82"/>
    <n v="9.9"/>
    <s v="E-Wallet"/>
  </r>
  <r>
    <n v="58"/>
    <x v="50"/>
    <x v="1"/>
    <x v="1"/>
    <x v="3"/>
    <x v="11"/>
    <n v="3"/>
    <n v="209.12"/>
    <n v="627.36"/>
    <n v="472.68"/>
    <n v="154.68"/>
    <s v="E-Wallet"/>
  </r>
  <r>
    <n v="59"/>
    <x v="51"/>
    <x v="0"/>
    <x v="2"/>
    <x v="1"/>
    <x v="15"/>
    <n v="1"/>
    <n v="124.09"/>
    <n v="124.09"/>
    <n v="81.28"/>
    <n v="42.81"/>
    <s v="Card"/>
  </r>
  <r>
    <n v="60"/>
    <x v="52"/>
    <x v="8"/>
    <x v="0"/>
    <x v="3"/>
    <x v="12"/>
    <n v="5"/>
    <n v="118.17"/>
    <n v="590.85"/>
    <n v="329.27"/>
    <n v="261.58"/>
    <s v="Cash"/>
  </r>
  <r>
    <n v="61"/>
    <x v="3"/>
    <x v="7"/>
    <x v="1"/>
    <x v="3"/>
    <x v="12"/>
    <n v="2"/>
    <n v="107.35"/>
    <n v="214.7"/>
    <n v="121"/>
    <n v="93.7"/>
    <s v="E-Wallet"/>
  </r>
  <r>
    <n v="62"/>
    <x v="50"/>
    <x v="11"/>
    <x v="0"/>
    <x v="2"/>
    <x v="14"/>
    <n v="4"/>
    <n v="63.29"/>
    <n v="253.16"/>
    <n v="158.26"/>
    <n v="94.9"/>
    <s v="E-Wallet"/>
  </r>
  <r>
    <n v="63"/>
    <x v="53"/>
    <x v="0"/>
    <x v="0"/>
    <x v="0"/>
    <x v="0"/>
    <n v="3"/>
    <n v="1399.94"/>
    <n v="4199.82"/>
    <n v="2564.16"/>
    <n v="1635.66"/>
    <s v="Cash"/>
  </r>
  <r>
    <n v="64"/>
    <x v="16"/>
    <x v="10"/>
    <x v="0"/>
    <x v="1"/>
    <x v="6"/>
    <n v="5"/>
    <n v="247.85"/>
    <n v="1239.25"/>
    <n v="732.57"/>
    <n v="506.68"/>
    <s v="Card"/>
  </r>
  <r>
    <n v="65"/>
    <x v="54"/>
    <x v="6"/>
    <x v="3"/>
    <x v="3"/>
    <x v="9"/>
    <n v="2"/>
    <n v="81.349999999999994"/>
    <n v="162.69999999999999"/>
    <n v="116.1"/>
    <n v="46.6"/>
    <s v="Cash"/>
  </r>
  <r>
    <n v="66"/>
    <x v="55"/>
    <x v="3"/>
    <x v="1"/>
    <x v="0"/>
    <x v="10"/>
    <n v="4"/>
    <n v="509.11"/>
    <n v="2036.44"/>
    <n v="1338.14"/>
    <n v="698.3"/>
    <s v="Cash"/>
  </r>
  <r>
    <n v="67"/>
    <x v="56"/>
    <x v="1"/>
    <x v="2"/>
    <x v="2"/>
    <x v="3"/>
    <n v="5"/>
    <n v="378.68"/>
    <n v="1893.4"/>
    <n v="1441.47"/>
    <n v="451.93"/>
    <s v="Bank Transfer"/>
  </r>
  <r>
    <n v="68"/>
    <x v="21"/>
    <x v="9"/>
    <x v="3"/>
    <x v="0"/>
    <x v="10"/>
    <n v="4"/>
    <n v="255.69"/>
    <n v="1022.76"/>
    <n v="789.6"/>
    <n v="233.16"/>
    <s v="E-Wallet"/>
  </r>
  <r>
    <n v="69"/>
    <x v="57"/>
    <x v="8"/>
    <x v="2"/>
    <x v="1"/>
    <x v="1"/>
    <n v="5"/>
    <n v="152.84"/>
    <n v="764.2"/>
    <n v="619.52"/>
    <n v="144.68"/>
    <s v="E-Wallet"/>
  </r>
  <r>
    <n v="70"/>
    <x v="58"/>
    <x v="11"/>
    <x v="2"/>
    <x v="3"/>
    <x v="9"/>
    <n v="2"/>
    <n v="45.78"/>
    <n v="91.56"/>
    <n v="70.89"/>
    <n v="20.67"/>
    <s v="Card"/>
  </r>
  <r>
    <n v="71"/>
    <x v="59"/>
    <x v="10"/>
    <x v="1"/>
    <x v="3"/>
    <x v="8"/>
    <n v="4"/>
    <n v="16.77"/>
    <n v="67.08"/>
    <n v="52.31"/>
    <n v="14.77"/>
    <s v="Bank Transfer"/>
  </r>
  <r>
    <n v="72"/>
    <x v="60"/>
    <x v="1"/>
    <x v="0"/>
    <x v="2"/>
    <x v="14"/>
    <n v="5"/>
    <n v="29.58"/>
    <n v="147.9"/>
    <n v="109.35"/>
    <n v="38.549999999999997"/>
    <s v="Card"/>
  </r>
  <r>
    <n v="73"/>
    <x v="15"/>
    <x v="2"/>
    <x v="2"/>
    <x v="0"/>
    <x v="7"/>
    <n v="4"/>
    <n v="374.42"/>
    <n v="1497.68"/>
    <n v="1048.22"/>
    <n v="449.46"/>
    <s v="E-Wallet"/>
  </r>
  <r>
    <n v="74"/>
    <x v="61"/>
    <x v="11"/>
    <x v="3"/>
    <x v="3"/>
    <x v="11"/>
    <n v="2"/>
    <n v="47.68"/>
    <n v="95.36"/>
    <n v="62.86"/>
    <n v="32.5"/>
    <s v="E-Wallet"/>
  </r>
  <r>
    <n v="75"/>
    <x v="62"/>
    <x v="10"/>
    <x v="3"/>
    <x v="2"/>
    <x v="5"/>
    <n v="5"/>
    <n v="149.6"/>
    <n v="748"/>
    <n v="478.21"/>
    <n v="269.79000000000002"/>
    <s v="Bank Transfer"/>
  </r>
  <r>
    <n v="76"/>
    <x v="38"/>
    <x v="2"/>
    <x v="1"/>
    <x v="2"/>
    <x v="2"/>
    <n v="2"/>
    <n v="32.07"/>
    <n v="64.14"/>
    <n v="40.74"/>
    <n v="23.4"/>
    <s v="Card"/>
  </r>
  <r>
    <n v="77"/>
    <x v="63"/>
    <x v="8"/>
    <x v="3"/>
    <x v="1"/>
    <x v="1"/>
    <n v="5"/>
    <n v="182.95"/>
    <n v="914.75"/>
    <n v="744.32"/>
    <n v="170.43"/>
    <s v="Cash"/>
  </r>
  <r>
    <n v="78"/>
    <x v="64"/>
    <x v="1"/>
    <x v="1"/>
    <x v="1"/>
    <x v="15"/>
    <n v="2"/>
    <n v="88.67"/>
    <n v="177.34"/>
    <n v="112.01"/>
    <n v="65.33"/>
    <s v="Bank Transfer"/>
  </r>
  <r>
    <n v="79"/>
    <x v="65"/>
    <x v="3"/>
    <x v="0"/>
    <x v="0"/>
    <x v="0"/>
    <n v="2"/>
    <n v="1087.3499999999999"/>
    <n v="2174.6999999999998"/>
    <n v="1570.62"/>
    <n v="604.08000000000004"/>
    <s v="Bank Transfer"/>
  </r>
  <r>
    <n v="80"/>
    <x v="66"/>
    <x v="10"/>
    <x v="0"/>
    <x v="3"/>
    <x v="8"/>
    <n v="2"/>
    <n v="20.420000000000002"/>
    <n v="40.840000000000003"/>
    <n v="33.11"/>
    <n v="7.73"/>
    <s v="Cash"/>
  </r>
  <r>
    <n v="81"/>
    <x v="67"/>
    <x v="11"/>
    <x v="0"/>
    <x v="3"/>
    <x v="8"/>
    <n v="1"/>
    <n v="7.59"/>
    <n v="7.59"/>
    <n v="4.49"/>
    <n v="3.1"/>
    <s v="Card"/>
  </r>
  <r>
    <n v="82"/>
    <x v="47"/>
    <x v="9"/>
    <x v="2"/>
    <x v="0"/>
    <x v="13"/>
    <n v="5"/>
    <n v="724.42"/>
    <n v="3622.1"/>
    <n v="2212.87"/>
    <n v="1409.23"/>
    <s v="E-Wallet"/>
  </r>
  <r>
    <n v="83"/>
    <x v="29"/>
    <x v="4"/>
    <x v="1"/>
    <x v="2"/>
    <x v="5"/>
    <n v="5"/>
    <n v="66.650000000000006"/>
    <n v="333.25"/>
    <n v="188.71"/>
    <n v="144.54"/>
    <s v="Bank Transfer"/>
  </r>
  <r>
    <n v="84"/>
    <x v="68"/>
    <x v="9"/>
    <x v="2"/>
    <x v="0"/>
    <x v="7"/>
    <n v="5"/>
    <n v="244.76"/>
    <n v="1223.8"/>
    <n v="697.89"/>
    <n v="525.91"/>
    <s v="E-Wallet"/>
  </r>
  <r>
    <n v="85"/>
    <x v="24"/>
    <x v="3"/>
    <x v="1"/>
    <x v="2"/>
    <x v="3"/>
    <n v="3"/>
    <n v="181.02"/>
    <n v="543.05999999999995"/>
    <n v="401.76"/>
    <n v="141.30000000000001"/>
    <s v="Bank Transfer"/>
  </r>
  <r>
    <n v="86"/>
    <x v="69"/>
    <x v="6"/>
    <x v="0"/>
    <x v="1"/>
    <x v="1"/>
    <n v="2"/>
    <n v="134.43"/>
    <n v="268.86"/>
    <n v="194.89"/>
    <n v="73.97"/>
    <s v="Cash"/>
  </r>
  <r>
    <n v="87"/>
    <x v="70"/>
    <x v="3"/>
    <x v="2"/>
    <x v="1"/>
    <x v="15"/>
    <n v="5"/>
    <n v="151.16"/>
    <n v="755.8"/>
    <n v="603.66999999999996"/>
    <n v="152.13"/>
    <s v="Bank Transfer"/>
  </r>
  <r>
    <n v="88"/>
    <x v="14"/>
    <x v="5"/>
    <x v="2"/>
    <x v="3"/>
    <x v="9"/>
    <n v="4"/>
    <n v="60.04"/>
    <n v="240.16"/>
    <n v="160.47"/>
    <n v="79.69"/>
    <s v="Bank Transfer"/>
  </r>
  <r>
    <n v="89"/>
    <x v="71"/>
    <x v="0"/>
    <x v="3"/>
    <x v="2"/>
    <x v="3"/>
    <n v="5"/>
    <n v="131.96"/>
    <n v="659.8"/>
    <n v="467.48"/>
    <n v="192.32"/>
    <s v="Cash"/>
  </r>
  <r>
    <n v="90"/>
    <x v="59"/>
    <x v="8"/>
    <x v="2"/>
    <x v="1"/>
    <x v="1"/>
    <n v="4"/>
    <n v="255.69"/>
    <n v="1022.76"/>
    <n v="815.49"/>
    <n v="207.27"/>
    <s v="E-Wallet"/>
  </r>
  <r>
    <n v="91"/>
    <x v="0"/>
    <x v="6"/>
    <x v="3"/>
    <x v="0"/>
    <x v="13"/>
    <n v="3"/>
    <n v="543.57000000000005"/>
    <n v="1630.71"/>
    <n v="1038.25"/>
    <n v="592.46"/>
    <s v="E-Wallet"/>
  </r>
  <r>
    <n v="92"/>
    <x v="46"/>
    <x v="5"/>
    <x v="2"/>
    <x v="3"/>
    <x v="9"/>
    <n v="4"/>
    <n v="73.010000000000005"/>
    <n v="292.04000000000002"/>
    <n v="224.77"/>
    <n v="67.27"/>
    <s v="Cash"/>
  </r>
  <r>
    <n v="93"/>
    <x v="68"/>
    <x v="0"/>
    <x v="2"/>
    <x v="2"/>
    <x v="14"/>
    <n v="4"/>
    <n v="32.630000000000003"/>
    <n v="130.52000000000001"/>
    <n v="102.27"/>
    <n v="28.25"/>
    <s v="E-Wallet"/>
  </r>
  <r>
    <n v="94"/>
    <x v="72"/>
    <x v="10"/>
    <x v="0"/>
    <x v="0"/>
    <x v="7"/>
    <n v="5"/>
    <n v="319.98"/>
    <n v="1599.9"/>
    <n v="1206.71"/>
    <n v="393.19"/>
    <s v="Card"/>
  </r>
  <r>
    <n v="95"/>
    <x v="23"/>
    <x v="3"/>
    <x v="0"/>
    <x v="2"/>
    <x v="2"/>
    <n v="4"/>
    <n v="112.77"/>
    <n v="451.08"/>
    <n v="355.37"/>
    <n v="95.71"/>
    <s v="Card"/>
  </r>
  <r>
    <n v="96"/>
    <x v="18"/>
    <x v="3"/>
    <x v="2"/>
    <x v="1"/>
    <x v="15"/>
    <n v="5"/>
    <n v="143.63999999999999"/>
    <n v="718.2"/>
    <n v="474.13"/>
    <n v="244.07"/>
    <s v="Cash"/>
  </r>
  <r>
    <n v="97"/>
    <x v="57"/>
    <x v="9"/>
    <x v="2"/>
    <x v="1"/>
    <x v="1"/>
    <n v="3"/>
    <n v="379.8"/>
    <n v="1139.4000000000001"/>
    <n v="783.22"/>
    <n v="356.18"/>
    <s v="E-Wallet"/>
  </r>
  <r>
    <n v="98"/>
    <x v="14"/>
    <x v="1"/>
    <x v="1"/>
    <x v="1"/>
    <x v="1"/>
    <n v="4"/>
    <n v="265.38"/>
    <n v="1061.52"/>
    <n v="638.47"/>
    <n v="423.05"/>
    <s v="Cash"/>
  </r>
  <r>
    <n v="99"/>
    <x v="68"/>
    <x v="11"/>
    <x v="3"/>
    <x v="2"/>
    <x v="5"/>
    <n v="5"/>
    <n v="70.790000000000006"/>
    <n v="353.95"/>
    <n v="220.21"/>
    <n v="133.74"/>
    <s v="E-Wallet"/>
  </r>
  <r>
    <n v="100"/>
    <x v="73"/>
    <x v="9"/>
    <x v="2"/>
    <x v="1"/>
    <x v="1"/>
    <n v="3"/>
    <n v="261.57"/>
    <n v="784.71"/>
    <n v="502.03"/>
    <n v="282.68"/>
    <s v="Bank Transf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BCAB0-38A2-4B24-8DD6-DE895E438357}" name="PivotTable3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A19:B25" firstHeaderRow="1" firstDataRow="1" firstDataCol="1"/>
  <pivotFields count="14">
    <pivotField showAll="0"/>
    <pivotField numFmtId="14" showAll="0">
      <items count="75">
        <item x="68"/>
        <item x="44"/>
        <item x="71"/>
        <item x="1"/>
        <item x="19"/>
        <item x="32"/>
        <item x="8"/>
        <item x="53"/>
        <item x="43"/>
        <item x="22"/>
        <item x="5"/>
        <item x="58"/>
        <item x="10"/>
        <item x="29"/>
        <item x="0"/>
        <item x="21"/>
        <item x="54"/>
        <item x="45"/>
        <item x="16"/>
        <item x="9"/>
        <item x="33"/>
        <item x="2"/>
        <item x="42"/>
        <item x="59"/>
        <item x="40"/>
        <item x="55"/>
        <item x="41"/>
        <item x="35"/>
        <item x="18"/>
        <item x="15"/>
        <item x="61"/>
        <item x="66"/>
        <item x="37"/>
        <item x="30"/>
        <item x="69"/>
        <item x="57"/>
        <item x="60"/>
        <item x="36"/>
        <item x="13"/>
        <item x="48"/>
        <item x="31"/>
        <item x="56"/>
        <item x="6"/>
        <item x="4"/>
        <item x="3"/>
        <item x="52"/>
        <item x="28"/>
        <item x="34"/>
        <item x="50"/>
        <item x="12"/>
        <item x="70"/>
        <item x="24"/>
        <item x="11"/>
        <item x="23"/>
        <item x="65"/>
        <item x="26"/>
        <item x="47"/>
        <item x="63"/>
        <item x="38"/>
        <item x="25"/>
        <item x="73"/>
        <item x="46"/>
        <item x="67"/>
        <item x="20"/>
        <item x="49"/>
        <item x="27"/>
        <item x="14"/>
        <item x="72"/>
        <item x="7"/>
        <item x="39"/>
        <item x="51"/>
        <item x="17"/>
        <item x="62"/>
        <item x="64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axis="axisRow" showAll="0" measureFilter="1" sortType="ascending">
      <items count="17">
        <item x="1"/>
        <item x="12"/>
        <item x="6"/>
        <item x="15"/>
        <item x="4"/>
        <item x="11"/>
        <item x="2"/>
        <item x="0"/>
        <item x="7"/>
        <item x="14"/>
        <item x="9"/>
        <item x="3"/>
        <item x="13"/>
        <item x="10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numFmtId="44" showAll="0"/>
    <pivotField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3"/>
    </i>
    <i>
      <x v="12"/>
    </i>
    <i>
      <x v="8"/>
    </i>
    <i>
      <x v="7"/>
    </i>
    <i t="grand">
      <x/>
    </i>
  </rowItems>
  <colItems count="1">
    <i/>
  </colItems>
  <dataFields count="1">
    <dataField name="Sum of Sales" fld="8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E1CC7-5559-4919-A96A-403B244BFCF0}" name="PivotTable2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1:C16" firstHeaderRow="0" firstDataRow="1" firstDataCol="1"/>
  <pivotFields count="14">
    <pivotField showAll="0"/>
    <pivotField numFmtId="14" showAll="0">
      <items count="75">
        <item x="68"/>
        <item x="44"/>
        <item x="71"/>
        <item x="1"/>
        <item x="19"/>
        <item x="32"/>
        <item x="8"/>
        <item x="53"/>
        <item x="43"/>
        <item x="22"/>
        <item x="5"/>
        <item x="58"/>
        <item x="10"/>
        <item x="29"/>
        <item x="0"/>
        <item x="21"/>
        <item x="54"/>
        <item x="45"/>
        <item x="16"/>
        <item x="9"/>
        <item x="33"/>
        <item x="2"/>
        <item x="42"/>
        <item x="59"/>
        <item x="40"/>
        <item x="55"/>
        <item x="41"/>
        <item x="35"/>
        <item x="18"/>
        <item x="15"/>
        <item x="61"/>
        <item x="66"/>
        <item x="37"/>
        <item x="30"/>
        <item x="69"/>
        <item x="57"/>
        <item x="60"/>
        <item x="36"/>
        <item x="13"/>
        <item x="48"/>
        <item x="31"/>
        <item x="56"/>
        <item x="6"/>
        <item x="4"/>
        <item x="3"/>
        <item x="52"/>
        <item x="28"/>
        <item x="34"/>
        <item x="50"/>
        <item x="12"/>
        <item x="70"/>
        <item x="24"/>
        <item x="11"/>
        <item x="23"/>
        <item x="65"/>
        <item x="26"/>
        <item x="47"/>
        <item x="63"/>
        <item x="38"/>
        <item x="25"/>
        <item x="73"/>
        <item x="46"/>
        <item x="67"/>
        <item x="20"/>
        <item x="49"/>
        <item x="27"/>
        <item x="14"/>
        <item x="72"/>
        <item x="7"/>
        <item x="39"/>
        <item x="51"/>
        <item x="17"/>
        <item x="62"/>
        <item x="64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dataField="1" numFmtId="44" showAll="0"/>
    <pivotField numFmtId="44" showAll="0"/>
    <pivotField dataField="1"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44"/>
    <dataField name="Sum of Profit" fld="10" baseField="0" baseItem="0" numFmtId="44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6D777-27EA-48C8-ADA3-EBF0CB28210B}" name="PivotTable1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ity">
  <location ref="A3:B8" firstHeaderRow="1" firstDataRow="1" firstDataCol="1"/>
  <pivotFields count="14">
    <pivotField showAll="0"/>
    <pivotField numFmtId="14" showAll="0">
      <items count="75">
        <item x="68"/>
        <item x="44"/>
        <item x="71"/>
        <item x="1"/>
        <item x="19"/>
        <item x="32"/>
        <item x="8"/>
        <item x="53"/>
        <item x="43"/>
        <item x="22"/>
        <item x="5"/>
        <item x="58"/>
        <item x="10"/>
        <item x="29"/>
        <item x="0"/>
        <item x="21"/>
        <item x="54"/>
        <item x="45"/>
        <item x="16"/>
        <item x="9"/>
        <item x="33"/>
        <item x="2"/>
        <item x="42"/>
        <item x="59"/>
        <item x="40"/>
        <item x="55"/>
        <item x="41"/>
        <item x="35"/>
        <item x="18"/>
        <item x="15"/>
        <item x="61"/>
        <item x="66"/>
        <item x="37"/>
        <item x="30"/>
        <item x="69"/>
        <item x="57"/>
        <item x="60"/>
        <item x="36"/>
        <item x="13"/>
        <item x="48"/>
        <item x="31"/>
        <item x="56"/>
        <item x="6"/>
        <item x="4"/>
        <item x="3"/>
        <item x="52"/>
        <item x="28"/>
        <item x="34"/>
        <item x="50"/>
        <item x="12"/>
        <item x="70"/>
        <item x="24"/>
        <item x="11"/>
        <item x="23"/>
        <item x="65"/>
        <item x="26"/>
        <item x="47"/>
        <item x="63"/>
        <item x="38"/>
        <item x="25"/>
        <item x="73"/>
        <item x="46"/>
        <item x="67"/>
        <item x="20"/>
        <item x="49"/>
        <item x="27"/>
        <item x="14"/>
        <item x="72"/>
        <item x="7"/>
        <item x="39"/>
        <item x="51"/>
        <item x="17"/>
        <item x="62"/>
        <item x="64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  <pivotField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8" baseField="0" baseItem="0" numFmtId="4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6B909-9CD2-4116-872A-F8745BA4C3AD}" name="PivotTable6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">
  <location ref="E19:F24" firstHeaderRow="1" firstDataRow="1" firstDataCol="1"/>
  <pivotFields count="14">
    <pivotField showAll="0"/>
    <pivotField numFmtId="14" showAll="0">
      <items count="75">
        <item x="68"/>
        <item x="44"/>
        <item x="71"/>
        <item x="1"/>
        <item x="19"/>
        <item x="32"/>
        <item x="8"/>
        <item x="53"/>
        <item x="43"/>
        <item x="22"/>
        <item x="5"/>
        <item x="58"/>
        <item x="10"/>
        <item x="29"/>
        <item x="0"/>
        <item x="21"/>
        <item x="54"/>
        <item x="45"/>
        <item x="16"/>
        <item x="9"/>
        <item x="33"/>
        <item x="2"/>
        <item x="42"/>
        <item x="59"/>
        <item x="40"/>
        <item x="55"/>
        <item x="41"/>
        <item x="35"/>
        <item x="18"/>
        <item x="15"/>
        <item x="61"/>
        <item x="66"/>
        <item x="37"/>
        <item x="30"/>
        <item x="69"/>
        <item x="57"/>
        <item x="60"/>
        <item x="36"/>
        <item x="13"/>
        <item x="48"/>
        <item x="31"/>
        <item x="56"/>
        <item x="6"/>
        <item x="4"/>
        <item x="3"/>
        <item x="52"/>
        <item x="28"/>
        <item x="34"/>
        <item x="50"/>
        <item x="12"/>
        <item x="70"/>
        <item x="24"/>
        <item x="11"/>
        <item x="23"/>
        <item x="65"/>
        <item x="26"/>
        <item x="47"/>
        <item x="63"/>
        <item x="38"/>
        <item x="25"/>
        <item x="73"/>
        <item x="46"/>
        <item x="67"/>
        <item x="20"/>
        <item x="49"/>
        <item x="27"/>
        <item x="14"/>
        <item x="72"/>
        <item x="7"/>
        <item x="39"/>
        <item x="51"/>
        <item x="17"/>
        <item x="62"/>
        <item x="64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axis="axisRow" showAll="0" sortType="descending">
      <items count="5">
        <item sd="0" x="3"/>
        <item sd="0" x="0"/>
        <item sd="0" x="1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7">
        <item x="1"/>
        <item x="12"/>
        <item x="6"/>
        <item x="15"/>
        <item x="4"/>
        <item x="11"/>
        <item x="2"/>
        <item x="0"/>
        <item x="7"/>
        <item x="14"/>
        <item x="9"/>
        <item x="3"/>
        <item x="13"/>
        <item x="10"/>
        <item x="8"/>
        <item x="5"/>
        <item t="default"/>
      </items>
    </pivotField>
    <pivotField showAll="0"/>
    <pivotField numFmtId="44" showAll="0"/>
    <pivotField dataField="1" numFmtId="44" showAll="0"/>
    <pivotField numFmtId="44" showAll="0"/>
    <pivotField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4"/>
    <field x="5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" fld="8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374CC-2DAE-44AD-AB66-CBD7DA875AF9}" name="PivotTable5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E3:F16" firstHeaderRow="1" firstDataRow="1" firstDataCol="1"/>
  <pivotFields count="14">
    <pivotField showAll="0"/>
    <pivotField numFmtId="14" showAll="0">
      <items count="75">
        <item x="68"/>
        <item x="44"/>
        <item x="71"/>
        <item x="1"/>
        <item x="19"/>
        <item x="32"/>
        <item x="8"/>
        <item x="53"/>
        <item x="43"/>
        <item x="22"/>
        <item x="5"/>
        <item x="58"/>
        <item x="10"/>
        <item x="29"/>
        <item x="0"/>
        <item x="21"/>
        <item x="54"/>
        <item x="45"/>
        <item x="16"/>
        <item x="9"/>
        <item x="33"/>
        <item x="2"/>
        <item x="42"/>
        <item x="59"/>
        <item x="40"/>
        <item x="55"/>
        <item x="41"/>
        <item x="35"/>
        <item x="18"/>
        <item x="15"/>
        <item x="61"/>
        <item x="66"/>
        <item x="37"/>
        <item x="30"/>
        <item x="69"/>
        <item x="57"/>
        <item x="60"/>
        <item x="36"/>
        <item x="13"/>
        <item x="48"/>
        <item x="31"/>
        <item x="56"/>
        <item x="6"/>
        <item x="4"/>
        <item x="3"/>
        <item x="52"/>
        <item x="28"/>
        <item x="34"/>
        <item x="50"/>
        <item x="12"/>
        <item x="70"/>
        <item x="24"/>
        <item x="11"/>
        <item x="23"/>
        <item x="65"/>
        <item x="26"/>
        <item x="47"/>
        <item x="63"/>
        <item x="38"/>
        <item x="25"/>
        <item x="73"/>
        <item x="46"/>
        <item x="67"/>
        <item x="20"/>
        <item x="49"/>
        <item x="27"/>
        <item x="14"/>
        <item x="72"/>
        <item x="7"/>
        <item x="39"/>
        <item x="51"/>
        <item x="17"/>
        <item x="62"/>
        <item x="64"/>
        <item t="default"/>
      </items>
    </pivotField>
    <pivotField axis="axisRow" showAll="0" sortType="descending">
      <items count="13">
        <item x="8"/>
        <item x="5"/>
        <item x="2"/>
        <item x="9"/>
        <item x="10"/>
        <item x="11"/>
        <item x="6"/>
        <item x="7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3"/>
        <item x="2"/>
        <item t="default"/>
      </items>
    </pivotField>
    <pivotField showAll="0"/>
    <pivotField showAll="0" measureFilter="1">
      <items count="17">
        <item x="1"/>
        <item x="12"/>
        <item x="6"/>
        <item x="15"/>
        <item x="4"/>
        <item x="11"/>
        <item x="2"/>
        <item x="0"/>
        <item x="7"/>
        <item x="14"/>
        <item x="9"/>
        <item x="3"/>
        <item x="13"/>
        <item x="10"/>
        <item x="8"/>
        <item x="5"/>
        <item t="default"/>
      </items>
    </pivotField>
    <pivotField showAll="0"/>
    <pivotField numFmtId="44" showAll="0"/>
    <pivotField dataField="1" numFmtId="44" showAll="0"/>
    <pivotField numFmtId="44" showAll="0"/>
    <pivotField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3">
    <i>
      <x v="11"/>
    </i>
    <i>
      <x v="4"/>
    </i>
    <i>
      <x v="10"/>
    </i>
    <i>
      <x v="8"/>
    </i>
    <i>
      <x v="3"/>
    </i>
    <i>
      <x v="6"/>
    </i>
    <i>
      <x v="9"/>
    </i>
    <i>
      <x/>
    </i>
    <i>
      <x v="2"/>
    </i>
    <i>
      <x v="1"/>
    </i>
    <i>
      <x v="5"/>
    </i>
    <i>
      <x v="7"/>
    </i>
    <i t="grand">
      <x/>
    </i>
  </rowItems>
  <colItems count="1">
    <i/>
  </colItems>
  <dataFields count="1">
    <dataField name="Sum of Sales" fld="8" baseField="0" baseItem="0" numFmtId="44"/>
  </dataField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6DECA-55B6-4503-B8FF-DEB3657CBD40}" name="PivotTable4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A28:B36" firstHeaderRow="1" firstDataRow="1" firstDataCol="1"/>
  <pivotFields count="14">
    <pivotField showAll="0"/>
    <pivotField numFmtId="14" showAll="0">
      <items count="75">
        <item x="68"/>
        <item x="44"/>
        <item x="71"/>
        <item x="1"/>
        <item x="19"/>
        <item x="32"/>
        <item x="8"/>
        <item x="53"/>
        <item x="43"/>
        <item x="22"/>
        <item x="5"/>
        <item x="58"/>
        <item x="10"/>
        <item x="29"/>
        <item x="0"/>
        <item x="21"/>
        <item x="54"/>
        <item x="45"/>
        <item x="16"/>
        <item x="9"/>
        <item x="33"/>
        <item x="2"/>
        <item x="42"/>
        <item x="59"/>
        <item x="40"/>
        <item x="55"/>
        <item x="41"/>
        <item x="35"/>
        <item x="18"/>
        <item x="15"/>
        <item x="61"/>
        <item x="66"/>
        <item x="37"/>
        <item x="30"/>
        <item x="69"/>
        <item x="57"/>
        <item x="60"/>
        <item x="36"/>
        <item x="13"/>
        <item x="48"/>
        <item x="31"/>
        <item x="56"/>
        <item x="6"/>
        <item x="4"/>
        <item x="3"/>
        <item x="52"/>
        <item x="28"/>
        <item x="34"/>
        <item x="50"/>
        <item x="12"/>
        <item x="70"/>
        <item x="24"/>
        <item x="11"/>
        <item x="23"/>
        <item x="65"/>
        <item x="26"/>
        <item x="47"/>
        <item x="63"/>
        <item x="38"/>
        <item x="25"/>
        <item x="73"/>
        <item x="46"/>
        <item x="67"/>
        <item x="20"/>
        <item x="49"/>
        <item x="27"/>
        <item x="14"/>
        <item x="72"/>
        <item x="7"/>
        <item x="39"/>
        <item x="51"/>
        <item x="17"/>
        <item x="62"/>
        <item x="64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 measureFilter="1">
      <items count="17">
        <item x="1"/>
        <item x="12"/>
        <item x="6"/>
        <item x="15"/>
        <item x="4"/>
        <item x="11"/>
        <item x="2"/>
        <item x="0"/>
        <item x="7"/>
        <item x="14"/>
        <item x="9"/>
        <item x="3"/>
        <item x="13"/>
        <item x="10"/>
        <item x="8"/>
        <item x="5"/>
        <item t="default"/>
      </items>
    </pivotField>
    <pivotField showAll="0"/>
    <pivotField numFmtId="44" showAll="0"/>
    <pivotField dataField="1" numFmtId="44" showAll="0"/>
    <pivotField numFmtId="44" showAll="0"/>
    <pivotField numFmtId="4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8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5BC9B-D25D-4F4F-A774-480DB3B28F84}" name="Table1" displayName="Table1" ref="A1:L102" totalsRowCount="1">
  <autoFilter ref="A1:L101" xr:uid="{A685BC9B-D25D-4F4F-A774-480DB3B28F84}"/>
  <tableColumns count="12">
    <tableColumn id="1" xr3:uid="{4C519EDD-6EA3-40D3-95E4-19DD2E159F8B}" name="Order_ID"/>
    <tableColumn id="2" xr3:uid="{2E732C70-51EA-4626-AE38-3E957CC07E07}" name="Order_Date" dataDxfId="8" totalsRowDxfId="9"/>
    <tableColumn id="3" xr3:uid="{0EF50221-7057-4C9D-904A-B12A6F623C67}" name="Customer"/>
    <tableColumn id="4" xr3:uid="{C0314F96-0AE3-4542-8ADA-268CD80FB3A8}" name="City"/>
    <tableColumn id="5" xr3:uid="{D8EF6C8A-B22A-4671-9A2A-5D4499E1F1A6}" name="Category"/>
    <tableColumn id="6" xr3:uid="{B85B366D-ACC8-439D-9D33-37732675FB3E}" name="Product"/>
    <tableColumn id="7" xr3:uid="{F0008A81-BF35-49A0-893D-F5B0A671A833}" name="Quantity" totalsRowFunction="custom">
      <totalsRowFormula>SUM(Table1[Quantity])</totalsRowFormula>
    </tableColumn>
    <tableColumn id="8" xr3:uid="{63C78E25-E1E4-4E72-B048-31B102FED641}" name="Unit_Price" totalsRowFunction="custom" dataDxfId="6" totalsRowDxfId="7" dataCellStyle="Currency">
      <totalsRowFormula>-SUM(Table1[Unit_Price])</totalsRowFormula>
    </tableColumn>
    <tableColumn id="9" xr3:uid="{E8F4E953-F952-4523-AA66-C0EF37D8B072}" name="Sales" totalsRowFunction="custom" dataDxfId="4" totalsRowDxfId="5">
      <totalsRowFormula>-SUM(Table1[Sales])</totalsRowFormula>
    </tableColumn>
    <tableColumn id="10" xr3:uid="{1F21AA2D-837B-4D48-A356-D86D41E9AB20}" name="Cost" totalsRowFunction="custom" dataDxfId="2" totalsRowDxfId="3">
      <totalsRowFormula>-SUM(Table1[Cost])</totalsRowFormula>
    </tableColumn>
    <tableColumn id="11" xr3:uid="{D8C91A4F-A5D2-4A35-9981-C9B1ED24A863}" name="Profit" totalsRowFunction="custom" dataDxfId="0" totalsRowDxfId="1">
      <totalsRowFormula>-SUM(Table1[Profit])</totalsRowFormula>
    </tableColumn>
    <tableColumn id="12" xr3:uid="{F09F895B-917F-4022-9FE5-446CF07F3C45}" name="Pa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3472-4E8C-4FF5-A21E-83CD3FC8BBBD}">
  <dimension ref="A1:L101"/>
  <sheetViews>
    <sheetView workbookViewId="0">
      <selection activeCell="P2" sqref="P2"/>
    </sheetView>
  </sheetViews>
  <sheetFormatPr defaultRowHeight="15"/>
  <cols>
    <col min="1" max="1" width="9.28515625" bestFit="1" customWidth="1"/>
    <col min="2" max="2" width="10.28515625" bestFit="1" customWidth="1"/>
    <col min="3" max="4" width="9.7109375" bestFit="1" customWidth="1"/>
    <col min="5" max="5" width="10.28515625" bestFit="1" customWidth="1"/>
    <col min="6" max="6" width="11.85546875" bestFit="1" customWidth="1"/>
    <col min="7" max="7" width="7.85546875" bestFit="1" customWidth="1"/>
    <col min="8" max="8" width="8.7109375" bestFit="1" customWidth="1"/>
    <col min="9" max="11" width="8" bestFit="1" customWidth="1"/>
    <col min="12" max="12" width="12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46049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>
        <v>1219.0899999999999</v>
      </c>
      <c r="I2">
        <v>2438.1799999999998</v>
      </c>
      <c r="J2">
        <v>1487.94</v>
      </c>
      <c r="K2">
        <v>950.24</v>
      </c>
      <c r="L2" t="s">
        <v>17</v>
      </c>
    </row>
    <row r="3" spans="1:12">
      <c r="A3" t="s">
        <v>18</v>
      </c>
      <c r="B3" s="1">
        <v>46029</v>
      </c>
      <c r="C3" t="s">
        <v>19</v>
      </c>
      <c r="D3" t="s">
        <v>20</v>
      </c>
      <c r="E3" t="s">
        <v>15</v>
      </c>
      <c r="F3" t="s">
        <v>16</v>
      </c>
      <c r="G3">
        <v>2</v>
      </c>
      <c r="H3">
        <v>765.59</v>
      </c>
      <c r="I3">
        <v>1531.18</v>
      </c>
      <c r="J3">
        <v>1051.07</v>
      </c>
      <c r="K3">
        <v>480.11</v>
      </c>
      <c r="L3" t="s">
        <v>17</v>
      </c>
    </row>
    <row r="4" spans="1:12">
      <c r="A4" t="s">
        <v>21</v>
      </c>
      <c r="B4" s="1">
        <v>46063</v>
      </c>
      <c r="C4" t="s">
        <v>22</v>
      </c>
      <c r="D4" t="s">
        <v>23</v>
      </c>
      <c r="E4" t="s">
        <v>24</v>
      </c>
      <c r="F4" t="s">
        <v>25</v>
      </c>
      <c r="G4">
        <v>1</v>
      </c>
      <c r="H4">
        <v>276.77999999999997</v>
      </c>
      <c r="I4">
        <v>276.77999999999997</v>
      </c>
      <c r="J4">
        <v>208.94</v>
      </c>
      <c r="K4">
        <v>67.84</v>
      </c>
      <c r="L4" t="s">
        <v>26</v>
      </c>
    </row>
    <row r="5" spans="1:12">
      <c r="A5" t="s">
        <v>27</v>
      </c>
      <c r="B5" s="1">
        <v>46120</v>
      </c>
      <c r="C5" t="s">
        <v>28</v>
      </c>
      <c r="D5" t="s">
        <v>29</v>
      </c>
      <c r="E5" t="s">
        <v>30</v>
      </c>
      <c r="F5" t="s">
        <v>31</v>
      </c>
      <c r="G5">
        <v>3</v>
      </c>
      <c r="H5">
        <v>41.53</v>
      </c>
      <c r="I5">
        <v>124.59</v>
      </c>
      <c r="J5">
        <v>71.959999999999994</v>
      </c>
      <c r="K5">
        <v>52.63</v>
      </c>
      <c r="L5" t="s">
        <v>26</v>
      </c>
    </row>
    <row r="6" spans="1:12">
      <c r="A6" t="s">
        <v>32</v>
      </c>
      <c r="B6" s="1">
        <v>46119</v>
      </c>
      <c r="C6" t="s">
        <v>28</v>
      </c>
      <c r="D6" t="s">
        <v>29</v>
      </c>
      <c r="E6" t="s">
        <v>30</v>
      </c>
      <c r="F6" t="s">
        <v>33</v>
      </c>
      <c r="G6">
        <v>5</v>
      </c>
      <c r="H6">
        <v>355.41</v>
      </c>
      <c r="I6">
        <v>1777.05</v>
      </c>
      <c r="J6">
        <v>1037.27</v>
      </c>
      <c r="K6">
        <v>739.78</v>
      </c>
      <c r="L6" t="s">
        <v>26</v>
      </c>
    </row>
    <row r="7" spans="1:12">
      <c r="A7" t="s">
        <v>34</v>
      </c>
      <c r="B7" s="1">
        <v>46043</v>
      </c>
      <c r="C7" t="s">
        <v>35</v>
      </c>
      <c r="D7" t="s">
        <v>14</v>
      </c>
      <c r="E7" t="s">
        <v>24</v>
      </c>
      <c r="F7" t="s">
        <v>36</v>
      </c>
      <c r="G7">
        <v>2</v>
      </c>
      <c r="H7">
        <v>130.54</v>
      </c>
      <c r="I7">
        <v>261.08</v>
      </c>
      <c r="J7">
        <v>198.09</v>
      </c>
      <c r="K7">
        <v>62.99</v>
      </c>
      <c r="L7" t="s">
        <v>17</v>
      </c>
    </row>
    <row r="8" spans="1:12">
      <c r="A8" t="s">
        <v>37</v>
      </c>
      <c r="B8" s="1">
        <v>46113</v>
      </c>
      <c r="C8" t="s">
        <v>35</v>
      </c>
      <c r="D8" t="s">
        <v>29</v>
      </c>
      <c r="E8" t="s">
        <v>30</v>
      </c>
      <c r="F8" t="s">
        <v>38</v>
      </c>
      <c r="G8">
        <v>3</v>
      </c>
      <c r="H8">
        <v>106.28</v>
      </c>
      <c r="I8">
        <v>318.83999999999997</v>
      </c>
      <c r="J8">
        <v>189.36</v>
      </c>
      <c r="K8">
        <v>129.47999999999999</v>
      </c>
      <c r="L8" t="s">
        <v>39</v>
      </c>
    </row>
    <row r="9" spans="1:12">
      <c r="A9" t="s">
        <v>40</v>
      </c>
      <c r="B9" s="1">
        <v>46186</v>
      </c>
      <c r="C9" t="s">
        <v>22</v>
      </c>
      <c r="D9" t="s">
        <v>20</v>
      </c>
      <c r="E9" t="s">
        <v>24</v>
      </c>
      <c r="F9" t="s">
        <v>41</v>
      </c>
      <c r="G9">
        <v>4</v>
      </c>
      <c r="H9">
        <v>112.68</v>
      </c>
      <c r="I9">
        <v>450.72</v>
      </c>
      <c r="J9">
        <v>280.75</v>
      </c>
      <c r="K9">
        <v>169.97</v>
      </c>
      <c r="L9" t="s">
        <v>26</v>
      </c>
    </row>
    <row r="10" spans="1:12">
      <c r="A10" t="s">
        <v>42</v>
      </c>
      <c r="B10" s="1">
        <v>46039</v>
      </c>
      <c r="C10" t="s">
        <v>35</v>
      </c>
      <c r="D10" t="s">
        <v>29</v>
      </c>
      <c r="E10" t="s">
        <v>15</v>
      </c>
      <c r="F10" t="s">
        <v>43</v>
      </c>
      <c r="G10">
        <v>3</v>
      </c>
      <c r="H10">
        <v>401.89</v>
      </c>
      <c r="I10">
        <v>1205.67</v>
      </c>
      <c r="J10">
        <v>793.71</v>
      </c>
      <c r="K10">
        <v>411.96</v>
      </c>
      <c r="L10" t="s">
        <v>44</v>
      </c>
    </row>
    <row r="11" spans="1:12">
      <c r="A11" t="s">
        <v>45</v>
      </c>
      <c r="B11" s="1">
        <v>46058</v>
      </c>
      <c r="C11" t="s">
        <v>35</v>
      </c>
      <c r="D11" t="s">
        <v>29</v>
      </c>
      <c r="E11" t="s">
        <v>46</v>
      </c>
      <c r="F11" t="s">
        <v>47</v>
      </c>
      <c r="G11">
        <v>4</v>
      </c>
      <c r="H11">
        <v>35.96</v>
      </c>
      <c r="I11">
        <v>143.84</v>
      </c>
      <c r="J11">
        <v>84.66</v>
      </c>
      <c r="K11">
        <v>59.18</v>
      </c>
      <c r="L11" t="s">
        <v>17</v>
      </c>
    </row>
    <row r="12" spans="1:12">
      <c r="A12" t="s">
        <v>48</v>
      </c>
      <c r="B12" s="1">
        <v>46046</v>
      </c>
      <c r="C12" t="s">
        <v>49</v>
      </c>
      <c r="D12" t="s">
        <v>14</v>
      </c>
      <c r="E12" t="s">
        <v>46</v>
      </c>
      <c r="F12" t="s">
        <v>50</v>
      </c>
      <c r="G12">
        <v>2</v>
      </c>
      <c r="H12">
        <v>37.549999999999997</v>
      </c>
      <c r="I12">
        <v>75.099999999999994</v>
      </c>
      <c r="J12">
        <v>51.64</v>
      </c>
      <c r="K12">
        <v>23.46</v>
      </c>
      <c r="L12" t="s">
        <v>44</v>
      </c>
    </row>
    <row r="13" spans="1:12">
      <c r="A13" t="s">
        <v>51</v>
      </c>
      <c r="B13" s="1">
        <v>46142</v>
      </c>
      <c r="C13" t="s">
        <v>19</v>
      </c>
      <c r="D13" t="s">
        <v>29</v>
      </c>
      <c r="E13" t="s">
        <v>24</v>
      </c>
      <c r="F13" t="s">
        <v>25</v>
      </c>
      <c r="G13">
        <v>4</v>
      </c>
      <c r="H13">
        <v>278.92</v>
      </c>
      <c r="I13">
        <v>1115.68</v>
      </c>
      <c r="J13">
        <v>728.58</v>
      </c>
      <c r="K13">
        <v>387.1</v>
      </c>
      <c r="L13" t="s">
        <v>39</v>
      </c>
    </row>
    <row r="14" spans="1:12">
      <c r="A14" t="s">
        <v>52</v>
      </c>
      <c r="B14" s="1">
        <v>46134</v>
      </c>
      <c r="C14" t="s">
        <v>53</v>
      </c>
      <c r="D14" t="s">
        <v>23</v>
      </c>
      <c r="E14" t="s">
        <v>15</v>
      </c>
      <c r="F14" t="s">
        <v>54</v>
      </c>
      <c r="G14">
        <v>3</v>
      </c>
      <c r="H14">
        <v>595.87</v>
      </c>
      <c r="I14">
        <v>1787.61</v>
      </c>
      <c r="J14">
        <v>1037.03</v>
      </c>
      <c r="K14">
        <v>750.58</v>
      </c>
      <c r="L14" t="s">
        <v>39</v>
      </c>
    </row>
    <row r="15" spans="1:12">
      <c r="A15" t="s">
        <v>55</v>
      </c>
      <c r="B15" s="1">
        <v>46099</v>
      </c>
      <c r="C15" t="s">
        <v>13</v>
      </c>
      <c r="D15" t="s">
        <v>20</v>
      </c>
      <c r="E15" t="s">
        <v>30</v>
      </c>
      <c r="F15" t="s">
        <v>31</v>
      </c>
      <c r="G15">
        <v>1</v>
      </c>
      <c r="H15">
        <v>70.77</v>
      </c>
      <c r="I15">
        <v>70.77</v>
      </c>
      <c r="J15">
        <v>55.56</v>
      </c>
      <c r="K15">
        <v>15.21</v>
      </c>
      <c r="L15" t="s">
        <v>44</v>
      </c>
    </row>
    <row r="16" spans="1:12">
      <c r="A16" t="s">
        <v>56</v>
      </c>
      <c r="B16" s="1">
        <v>46176</v>
      </c>
      <c r="C16" t="s">
        <v>57</v>
      </c>
      <c r="D16" t="s">
        <v>23</v>
      </c>
      <c r="E16" t="s">
        <v>30</v>
      </c>
      <c r="F16" t="s">
        <v>31</v>
      </c>
      <c r="G16">
        <v>5</v>
      </c>
      <c r="H16">
        <v>73.94</v>
      </c>
      <c r="I16">
        <v>369.7</v>
      </c>
      <c r="J16">
        <v>295.02</v>
      </c>
      <c r="K16">
        <v>74.680000000000007</v>
      </c>
      <c r="L16" t="s">
        <v>39</v>
      </c>
    </row>
    <row r="17" spans="1:12">
      <c r="A17" t="s">
        <v>58</v>
      </c>
      <c r="B17" s="1">
        <v>46084</v>
      </c>
      <c r="C17" t="s">
        <v>59</v>
      </c>
      <c r="D17" t="s">
        <v>14</v>
      </c>
      <c r="E17" t="s">
        <v>15</v>
      </c>
      <c r="F17" t="s">
        <v>54</v>
      </c>
      <c r="G17">
        <v>3</v>
      </c>
      <c r="H17">
        <v>645.41999999999996</v>
      </c>
      <c r="I17">
        <v>1936.26</v>
      </c>
      <c r="J17">
        <v>1190.1300000000001</v>
      </c>
      <c r="K17">
        <v>746.13</v>
      </c>
      <c r="L17" t="s">
        <v>39</v>
      </c>
    </row>
    <row r="18" spans="1:12">
      <c r="A18" t="s">
        <v>60</v>
      </c>
      <c r="B18" s="1">
        <v>46055</v>
      </c>
      <c r="C18" t="s">
        <v>13</v>
      </c>
      <c r="D18" t="s">
        <v>23</v>
      </c>
      <c r="E18" t="s">
        <v>46</v>
      </c>
      <c r="F18" t="s">
        <v>61</v>
      </c>
      <c r="G18">
        <v>5</v>
      </c>
      <c r="H18">
        <v>215.82</v>
      </c>
      <c r="I18">
        <v>1079.0999999999999</v>
      </c>
      <c r="J18">
        <v>816.64</v>
      </c>
      <c r="K18">
        <v>262.45999999999998</v>
      </c>
      <c r="L18" t="s">
        <v>44</v>
      </c>
    </row>
    <row r="19" spans="1:12">
      <c r="A19" t="s">
        <v>62</v>
      </c>
      <c r="B19" s="1">
        <v>46199</v>
      </c>
      <c r="C19" t="s">
        <v>35</v>
      </c>
      <c r="D19" t="s">
        <v>29</v>
      </c>
      <c r="E19" t="s">
        <v>30</v>
      </c>
      <c r="F19" t="s">
        <v>38</v>
      </c>
      <c r="G19">
        <v>5</v>
      </c>
      <c r="H19">
        <v>145.72</v>
      </c>
      <c r="I19">
        <v>728.6</v>
      </c>
      <c r="J19">
        <v>549.30999999999995</v>
      </c>
      <c r="K19">
        <v>179.29</v>
      </c>
      <c r="L19" t="s">
        <v>17</v>
      </c>
    </row>
    <row r="20" spans="1:12">
      <c r="A20" t="s">
        <v>63</v>
      </c>
      <c r="B20" s="1">
        <v>46080</v>
      </c>
      <c r="C20" t="s">
        <v>28</v>
      </c>
      <c r="D20" t="s">
        <v>29</v>
      </c>
      <c r="E20" t="s">
        <v>30</v>
      </c>
      <c r="F20" t="s">
        <v>38</v>
      </c>
      <c r="G20">
        <v>4</v>
      </c>
      <c r="H20">
        <v>137.94999999999999</v>
      </c>
      <c r="I20">
        <v>551.79999999999995</v>
      </c>
      <c r="J20">
        <v>321.52</v>
      </c>
      <c r="K20">
        <v>230.28</v>
      </c>
      <c r="L20" t="s">
        <v>39</v>
      </c>
    </row>
    <row r="21" spans="1:12">
      <c r="A21" t="s">
        <v>64</v>
      </c>
      <c r="B21" s="1">
        <v>46031</v>
      </c>
      <c r="C21" t="s">
        <v>57</v>
      </c>
      <c r="D21" t="s">
        <v>14</v>
      </c>
      <c r="E21" t="s">
        <v>24</v>
      </c>
      <c r="F21" t="s">
        <v>41</v>
      </c>
      <c r="G21">
        <v>1</v>
      </c>
      <c r="H21">
        <v>81.44</v>
      </c>
      <c r="I21">
        <v>81.44</v>
      </c>
      <c r="J21">
        <v>49.83</v>
      </c>
      <c r="K21">
        <v>31.61</v>
      </c>
      <c r="L21" t="s">
        <v>44</v>
      </c>
    </row>
    <row r="22" spans="1:12">
      <c r="A22" t="s">
        <v>65</v>
      </c>
      <c r="B22" s="1">
        <v>46169</v>
      </c>
      <c r="C22" t="s">
        <v>59</v>
      </c>
      <c r="D22" t="s">
        <v>23</v>
      </c>
      <c r="E22" t="s">
        <v>30</v>
      </c>
      <c r="F22" t="s">
        <v>38</v>
      </c>
      <c r="G22">
        <v>2</v>
      </c>
      <c r="H22">
        <v>55.71</v>
      </c>
      <c r="I22">
        <v>111.42</v>
      </c>
      <c r="J22">
        <v>83.04</v>
      </c>
      <c r="K22">
        <v>28.38</v>
      </c>
      <c r="L22" t="s">
        <v>44</v>
      </c>
    </row>
    <row r="23" spans="1:12">
      <c r="A23" t="s">
        <v>66</v>
      </c>
      <c r="B23" s="1">
        <v>46113</v>
      </c>
      <c r="C23" t="s">
        <v>67</v>
      </c>
      <c r="D23" t="s">
        <v>23</v>
      </c>
      <c r="E23" t="s">
        <v>46</v>
      </c>
      <c r="F23" t="s">
        <v>47</v>
      </c>
      <c r="G23">
        <v>1</v>
      </c>
      <c r="H23">
        <v>11.66</v>
      </c>
      <c r="I23">
        <v>11.66</v>
      </c>
      <c r="J23">
        <v>8.49</v>
      </c>
      <c r="K23">
        <v>3.17</v>
      </c>
      <c r="L23" t="s">
        <v>17</v>
      </c>
    </row>
    <row r="24" spans="1:12">
      <c r="A24" t="s">
        <v>68</v>
      </c>
      <c r="B24" s="1">
        <v>46050</v>
      </c>
      <c r="C24" t="s">
        <v>35</v>
      </c>
      <c r="D24" t="s">
        <v>20</v>
      </c>
      <c r="E24" t="s">
        <v>15</v>
      </c>
      <c r="F24" t="s">
        <v>16</v>
      </c>
      <c r="G24">
        <v>3</v>
      </c>
      <c r="H24">
        <v>742.43</v>
      </c>
      <c r="I24">
        <v>2227.29</v>
      </c>
      <c r="J24">
        <v>1706.46</v>
      </c>
      <c r="K24">
        <v>520.83000000000004</v>
      </c>
      <c r="L24" t="s">
        <v>44</v>
      </c>
    </row>
    <row r="25" spans="1:12">
      <c r="A25" t="s">
        <v>69</v>
      </c>
      <c r="B25" s="1">
        <v>46042</v>
      </c>
      <c r="C25" t="s">
        <v>70</v>
      </c>
      <c r="D25" t="s">
        <v>14</v>
      </c>
      <c r="E25" t="s">
        <v>46</v>
      </c>
      <c r="F25" t="s">
        <v>71</v>
      </c>
      <c r="G25">
        <v>3</v>
      </c>
      <c r="H25">
        <v>65.08</v>
      </c>
      <c r="I25">
        <v>195.24</v>
      </c>
      <c r="J25">
        <v>131.77000000000001</v>
      </c>
      <c r="K25">
        <v>63.47</v>
      </c>
      <c r="L25" t="s">
        <v>39</v>
      </c>
    </row>
    <row r="26" spans="1:12">
      <c r="A26" t="s">
        <v>72</v>
      </c>
      <c r="B26" s="1">
        <v>46147</v>
      </c>
      <c r="C26" t="s">
        <v>70</v>
      </c>
      <c r="D26" t="s">
        <v>20</v>
      </c>
      <c r="E26" t="s">
        <v>15</v>
      </c>
      <c r="F26" t="s">
        <v>16</v>
      </c>
      <c r="G26">
        <v>2</v>
      </c>
      <c r="H26">
        <v>1348.46</v>
      </c>
      <c r="I26">
        <v>2696.92</v>
      </c>
      <c r="J26">
        <v>1604.41</v>
      </c>
      <c r="K26">
        <v>1092.51</v>
      </c>
      <c r="L26" t="s">
        <v>17</v>
      </c>
    </row>
    <row r="27" spans="1:12">
      <c r="A27" t="s">
        <v>73</v>
      </c>
      <c r="B27" s="1">
        <v>46139</v>
      </c>
      <c r="C27" t="s">
        <v>74</v>
      </c>
      <c r="D27" t="s">
        <v>23</v>
      </c>
      <c r="E27" t="s">
        <v>15</v>
      </c>
      <c r="F27" t="s">
        <v>43</v>
      </c>
      <c r="G27">
        <v>4</v>
      </c>
      <c r="H27">
        <v>282.32</v>
      </c>
      <c r="I27">
        <v>1129.28</v>
      </c>
      <c r="J27">
        <v>701.97</v>
      </c>
      <c r="K27">
        <v>427.31</v>
      </c>
      <c r="L27" t="s">
        <v>17</v>
      </c>
    </row>
    <row r="28" spans="1:12">
      <c r="A28" t="s">
        <v>75</v>
      </c>
      <c r="B28" s="1">
        <v>46161</v>
      </c>
      <c r="C28" t="s">
        <v>49</v>
      </c>
      <c r="D28" t="s">
        <v>29</v>
      </c>
      <c r="E28" t="s">
        <v>24</v>
      </c>
      <c r="F28" t="s">
        <v>41</v>
      </c>
      <c r="G28">
        <v>1</v>
      </c>
      <c r="H28">
        <v>139.34</v>
      </c>
      <c r="I28">
        <v>139.34</v>
      </c>
      <c r="J28">
        <v>98.43</v>
      </c>
      <c r="K28">
        <v>40.909999999999997</v>
      </c>
      <c r="L28" t="s">
        <v>39</v>
      </c>
    </row>
    <row r="29" spans="1:12">
      <c r="A29" t="s">
        <v>76</v>
      </c>
      <c r="B29" s="1">
        <v>46153</v>
      </c>
      <c r="C29" t="s">
        <v>28</v>
      </c>
      <c r="D29" t="s">
        <v>20</v>
      </c>
      <c r="E29" t="s">
        <v>15</v>
      </c>
      <c r="F29" t="s">
        <v>77</v>
      </c>
      <c r="G29">
        <v>5</v>
      </c>
      <c r="H29">
        <v>652</v>
      </c>
      <c r="I29">
        <v>3260</v>
      </c>
      <c r="J29">
        <v>1931.57</v>
      </c>
      <c r="K29">
        <v>1328.43</v>
      </c>
      <c r="L29" t="s">
        <v>39</v>
      </c>
    </row>
    <row r="30" spans="1:12">
      <c r="A30" t="s">
        <v>78</v>
      </c>
      <c r="B30" s="1">
        <v>46175</v>
      </c>
      <c r="C30" t="s">
        <v>49</v>
      </c>
      <c r="D30" t="s">
        <v>14</v>
      </c>
      <c r="E30" t="s">
        <v>15</v>
      </c>
      <c r="F30" t="s">
        <v>43</v>
      </c>
      <c r="G30">
        <v>5</v>
      </c>
      <c r="H30">
        <v>289.02</v>
      </c>
      <c r="I30">
        <v>1445.1</v>
      </c>
      <c r="J30">
        <v>890.87</v>
      </c>
      <c r="K30">
        <v>554.23</v>
      </c>
      <c r="L30" t="s">
        <v>17</v>
      </c>
    </row>
    <row r="31" spans="1:12">
      <c r="A31" t="s">
        <v>79</v>
      </c>
      <c r="B31" s="1">
        <v>46124</v>
      </c>
      <c r="C31" t="s">
        <v>53</v>
      </c>
      <c r="D31" t="s">
        <v>29</v>
      </c>
      <c r="E31" t="s">
        <v>30</v>
      </c>
      <c r="F31" t="s">
        <v>80</v>
      </c>
      <c r="G31">
        <v>3</v>
      </c>
      <c r="H31">
        <v>24.3</v>
      </c>
      <c r="I31">
        <v>72.900000000000006</v>
      </c>
      <c r="J31">
        <v>44.79</v>
      </c>
      <c r="K31">
        <v>28.11</v>
      </c>
      <c r="L31" t="s">
        <v>17</v>
      </c>
    </row>
    <row r="32" spans="1:12">
      <c r="A32" t="s">
        <v>81</v>
      </c>
      <c r="B32" s="1">
        <v>46048</v>
      </c>
      <c r="C32" t="s">
        <v>28</v>
      </c>
      <c r="D32" t="s">
        <v>20</v>
      </c>
      <c r="E32" t="s">
        <v>30</v>
      </c>
      <c r="F32" t="s">
        <v>33</v>
      </c>
      <c r="G32">
        <v>5</v>
      </c>
      <c r="H32">
        <v>103.26</v>
      </c>
      <c r="I32">
        <v>516.29999999999995</v>
      </c>
      <c r="J32">
        <v>423.15</v>
      </c>
      <c r="K32">
        <v>93.15</v>
      </c>
      <c r="L32" t="s">
        <v>26</v>
      </c>
    </row>
    <row r="33" spans="1:12">
      <c r="A33" t="s">
        <v>82</v>
      </c>
      <c r="B33" s="1">
        <v>46063</v>
      </c>
      <c r="C33" t="s">
        <v>70</v>
      </c>
      <c r="D33" t="s">
        <v>29</v>
      </c>
      <c r="E33" t="s">
        <v>24</v>
      </c>
      <c r="F33" t="s">
        <v>83</v>
      </c>
      <c r="G33">
        <v>2</v>
      </c>
      <c r="H33">
        <v>199.75</v>
      </c>
      <c r="I33">
        <v>399.5</v>
      </c>
      <c r="J33">
        <v>259.58</v>
      </c>
      <c r="K33">
        <v>139.91999999999999</v>
      </c>
      <c r="L33" t="s">
        <v>39</v>
      </c>
    </row>
    <row r="34" spans="1:12">
      <c r="A34" t="s">
        <v>84</v>
      </c>
      <c r="B34" s="1">
        <v>46050</v>
      </c>
      <c r="C34" t="s">
        <v>22</v>
      </c>
      <c r="D34" t="s">
        <v>20</v>
      </c>
      <c r="E34" t="s">
        <v>30</v>
      </c>
      <c r="F34" t="s">
        <v>33</v>
      </c>
      <c r="G34">
        <v>2</v>
      </c>
      <c r="H34">
        <v>428.63</v>
      </c>
      <c r="I34">
        <v>857.26</v>
      </c>
      <c r="J34">
        <v>532.71</v>
      </c>
      <c r="K34">
        <v>324.55</v>
      </c>
      <c r="L34" t="s">
        <v>26</v>
      </c>
    </row>
    <row r="35" spans="1:12">
      <c r="A35" t="s">
        <v>85</v>
      </c>
      <c r="B35" s="1">
        <v>46090</v>
      </c>
      <c r="C35" t="s">
        <v>19</v>
      </c>
      <c r="D35" t="s">
        <v>23</v>
      </c>
      <c r="E35" t="s">
        <v>30</v>
      </c>
      <c r="F35" t="s">
        <v>31</v>
      </c>
      <c r="G35">
        <v>2</v>
      </c>
      <c r="H35">
        <v>91.76</v>
      </c>
      <c r="I35">
        <v>183.52</v>
      </c>
      <c r="J35">
        <v>135</v>
      </c>
      <c r="K35">
        <v>48.52</v>
      </c>
      <c r="L35" t="s">
        <v>26</v>
      </c>
    </row>
    <row r="36" spans="1:12">
      <c r="A36" t="s">
        <v>86</v>
      </c>
      <c r="B36" s="1">
        <v>46108</v>
      </c>
      <c r="C36" t="s">
        <v>53</v>
      </c>
      <c r="D36" t="s">
        <v>29</v>
      </c>
      <c r="E36" t="s">
        <v>15</v>
      </c>
      <c r="F36" t="s">
        <v>16</v>
      </c>
      <c r="G36">
        <v>3</v>
      </c>
      <c r="H36">
        <v>1144</v>
      </c>
      <c r="I36">
        <v>3432</v>
      </c>
      <c r="J36">
        <v>1928.45</v>
      </c>
      <c r="K36">
        <v>1503.55</v>
      </c>
      <c r="L36" t="s">
        <v>44</v>
      </c>
    </row>
    <row r="37" spans="1:12">
      <c r="A37" t="s">
        <v>87</v>
      </c>
      <c r="B37" s="1">
        <v>46199</v>
      </c>
      <c r="C37" t="s">
        <v>53</v>
      </c>
      <c r="D37" t="s">
        <v>14</v>
      </c>
      <c r="E37" t="s">
        <v>46</v>
      </c>
      <c r="F37" t="s">
        <v>47</v>
      </c>
      <c r="G37">
        <v>1</v>
      </c>
      <c r="H37">
        <v>24.63</v>
      </c>
      <c r="I37">
        <v>24.63</v>
      </c>
      <c r="J37">
        <v>14.05</v>
      </c>
      <c r="K37">
        <v>10.58</v>
      </c>
      <c r="L37" t="s">
        <v>26</v>
      </c>
    </row>
    <row r="38" spans="1:12">
      <c r="A38" t="s">
        <v>88</v>
      </c>
      <c r="B38" s="1">
        <v>46033</v>
      </c>
      <c r="C38" t="s">
        <v>57</v>
      </c>
      <c r="D38" t="s">
        <v>20</v>
      </c>
      <c r="E38" t="s">
        <v>24</v>
      </c>
      <c r="F38" t="s">
        <v>25</v>
      </c>
      <c r="G38">
        <v>3</v>
      </c>
      <c r="H38">
        <v>138.22999999999999</v>
      </c>
      <c r="I38">
        <v>414.69</v>
      </c>
      <c r="J38">
        <v>268.91000000000003</v>
      </c>
      <c r="K38">
        <v>145.78</v>
      </c>
      <c r="L38" t="s">
        <v>44</v>
      </c>
    </row>
    <row r="39" spans="1:12">
      <c r="A39" t="s">
        <v>89</v>
      </c>
      <c r="B39" s="1">
        <v>46062</v>
      </c>
      <c r="C39" t="s">
        <v>35</v>
      </c>
      <c r="D39" t="s">
        <v>20</v>
      </c>
      <c r="E39" t="s">
        <v>15</v>
      </c>
      <c r="F39" t="s">
        <v>54</v>
      </c>
      <c r="G39">
        <v>4</v>
      </c>
      <c r="H39">
        <v>601.04999999999995</v>
      </c>
      <c r="I39">
        <v>2404.1999999999998</v>
      </c>
      <c r="J39">
        <v>1954.46</v>
      </c>
      <c r="K39">
        <v>449.74</v>
      </c>
      <c r="L39" t="s">
        <v>44</v>
      </c>
    </row>
    <row r="40" spans="1:12">
      <c r="A40" t="s">
        <v>90</v>
      </c>
      <c r="B40" s="1">
        <v>46128</v>
      </c>
      <c r="C40" t="s">
        <v>13</v>
      </c>
      <c r="D40" t="s">
        <v>20</v>
      </c>
      <c r="E40" t="s">
        <v>46</v>
      </c>
      <c r="F40" t="s">
        <v>61</v>
      </c>
      <c r="G40">
        <v>3</v>
      </c>
      <c r="H40">
        <v>64.08</v>
      </c>
      <c r="I40">
        <v>192.24</v>
      </c>
      <c r="J40">
        <v>146.34</v>
      </c>
      <c r="K40">
        <v>45.9</v>
      </c>
      <c r="L40" t="s">
        <v>26</v>
      </c>
    </row>
    <row r="41" spans="1:12">
      <c r="A41" t="s">
        <v>91</v>
      </c>
      <c r="B41" s="1">
        <v>46079</v>
      </c>
      <c r="C41" t="s">
        <v>35</v>
      </c>
      <c r="D41" t="s">
        <v>23</v>
      </c>
      <c r="E41" t="s">
        <v>24</v>
      </c>
      <c r="F41" t="s">
        <v>36</v>
      </c>
      <c r="G41">
        <v>1</v>
      </c>
      <c r="H41">
        <v>207.98</v>
      </c>
      <c r="I41">
        <v>207.98</v>
      </c>
      <c r="J41">
        <v>162.6</v>
      </c>
      <c r="K41">
        <v>45.38</v>
      </c>
      <c r="L41" t="s">
        <v>26</v>
      </c>
    </row>
    <row r="42" spans="1:12">
      <c r="A42" t="s">
        <v>92</v>
      </c>
      <c r="B42" s="1">
        <v>46094</v>
      </c>
      <c r="C42" t="s">
        <v>28</v>
      </c>
      <c r="D42" t="s">
        <v>29</v>
      </c>
      <c r="E42" t="s">
        <v>30</v>
      </c>
      <c r="F42" t="s">
        <v>31</v>
      </c>
      <c r="G42">
        <v>2</v>
      </c>
      <c r="H42">
        <v>42.29</v>
      </c>
      <c r="I42">
        <v>84.58</v>
      </c>
      <c r="J42">
        <v>55.62</v>
      </c>
      <c r="K42">
        <v>28.96</v>
      </c>
      <c r="L42" t="s">
        <v>26</v>
      </c>
    </row>
    <row r="43" spans="1:12">
      <c r="A43" t="s">
        <v>93</v>
      </c>
      <c r="B43" s="1">
        <v>46089</v>
      </c>
      <c r="C43" t="s">
        <v>53</v>
      </c>
      <c r="D43" t="s">
        <v>29</v>
      </c>
      <c r="E43" t="s">
        <v>46</v>
      </c>
      <c r="F43" t="s">
        <v>50</v>
      </c>
      <c r="G43">
        <v>1</v>
      </c>
      <c r="H43">
        <v>95.14</v>
      </c>
      <c r="I43">
        <v>95.14</v>
      </c>
      <c r="J43">
        <v>74.86</v>
      </c>
      <c r="K43">
        <v>20.28</v>
      </c>
      <c r="L43" t="s">
        <v>39</v>
      </c>
    </row>
    <row r="44" spans="1:12">
      <c r="A44" t="s">
        <v>94</v>
      </c>
      <c r="B44" s="1">
        <v>46153</v>
      </c>
      <c r="C44" t="s">
        <v>28</v>
      </c>
      <c r="D44" t="s">
        <v>23</v>
      </c>
      <c r="E44" t="s">
        <v>15</v>
      </c>
      <c r="F44" t="s">
        <v>77</v>
      </c>
      <c r="G44">
        <v>3</v>
      </c>
      <c r="H44">
        <v>541.98</v>
      </c>
      <c r="I44">
        <v>1625.94</v>
      </c>
      <c r="J44">
        <v>1085.8499999999999</v>
      </c>
      <c r="K44">
        <v>540.09</v>
      </c>
      <c r="L44" t="s">
        <v>44</v>
      </c>
    </row>
    <row r="45" spans="1:12">
      <c r="A45" t="s">
        <v>95</v>
      </c>
      <c r="B45" s="1">
        <v>46160</v>
      </c>
      <c r="C45" t="s">
        <v>13</v>
      </c>
      <c r="D45" t="s">
        <v>20</v>
      </c>
      <c r="E45" t="s">
        <v>30</v>
      </c>
      <c r="F45" t="s">
        <v>33</v>
      </c>
      <c r="G45">
        <v>1</v>
      </c>
      <c r="H45">
        <v>348.07</v>
      </c>
      <c r="I45">
        <v>348.07</v>
      </c>
      <c r="J45">
        <v>240.3</v>
      </c>
      <c r="K45">
        <v>107.77</v>
      </c>
      <c r="L45" t="s">
        <v>26</v>
      </c>
    </row>
    <row r="46" spans="1:12">
      <c r="A46" t="s">
        <v>96</v>
      </c>
      <c r="B46" s="1">
        <v>46192</v>
      </c>
      <c r="C46" t="s">
        <v>28</v>
      </c>
      <c r="D46" t="s">
        <v>29</v>
      </c>
      <c r="E46" t="s">
        <v>46</v>
      </c>
      <c r="F46" t="s">
        <v>61</v>
      </c>
      <c r="G46">
        <v>3</v>
      </c>
      <c r="H46">
        <v>210.29</v>
      </c>
      <c r="I46">
        <v>630.87</v>
      </c>
      <c r="J46">
        <v>453.12</v>
      </c>
      <c r="K46">
        <v>177.75</v>
      </c>
      <c r="L46" t="s">
        <v>26</v>
      </c>
    </row>
    <row r="47" spans="1:12">
      <c r="A47" t="s">
        <v>97</v>
      </c>
      <c r="B47" s="1">
        <v>46072</v>
      </c>
      <c r="C47" t="s">
        <v>67</v>
      </c>
      <c r="D47" t="s">
        <v>23</v>
      </c>
      <c r="E47" t="s">
        <v>46</v>
      </c>
      <c r="F47" t="s">
        <v>50</v>
      </c>
      <c r="G47">
        <v>3</v>
      </c>
      <c r="H47">
        <v>52.19</v>
      </c>
      <c r="I47">
        <v>156.57</v>
      </c>
      <c r="J47">
        <v>109.55</v>
      </c>
      <c r="K47">
        <v>47.02</v>
      </c>
      <c r="L47" t="s">
        <v>44</v>
      </c>
    </row>
    <row r="48" spans="1:12">
      <c r="A48" t="s">
        <v>98</v>
      </c>
      <c r="B48" s="1">
        <v>46076</v>
      </c>
      <c r="C48" t="s">
        <v>67</v>
      </c>
      <c r="D48" t="s">
        <v>29</v>
      </c>
      <c r="E48" t="s">
        <v>30</v>
      </c>
      <c r="F48" t="s">
        <v>38</v>
      </c>
      <c r="G48">
        <v>1</v>
      </c>
      <c r="H48">
        <v>95.75</v>
      </c>
      <c r="I48">
        <v>95.75</v>
      </c>
      <c r="J48">
        <v>60.52</v>
      </c>
      <c r="K48">
        <v>35.229999999999997</v>
      </c>
      <c r="L48" t="s">
        <v>17</v>
      </c>
    </row>
    <row r="49" spans="1:12">
      <c r="A49" t="s">
        <v>99</v>
      </c>
      <c r="B49" s="1">
        <v>46066</v>
      </c>
      <c r="C49" t="s">
        <v>13</v>
      </c>
      <c r="D49" t="s">
        <v>14</v>
      </c>
      <c r="E49" t="s">
        <v>46</v>
      </c>
      <c r="F49" t="s">
        <v>47</v>
      </c>
      <c r="G49">
        <v>5</v>
      </c>
      <c r="H49">
        <v>28.65</v>
      </c>
      <c r="I49">
        <v>143.25</v>
      </c>
      <c r="J49">
        <v>97.09</v>
      </c>
      <c r="K49">
        <v>46.16</v>
      </c>
      <c r="L49" t="s">
        <v>26</v>
      </c>
    </row>
    <row r="50" spans="1:12">
      <c r="A50" t="s">
        <v>100</v>
      </c>
      <c r="B50" s="1">
        <v>46080</v>
      </c>
      <c r="C50" t="s">
        <v>35</v>
      </c>
      <c r="D50" t="s">
        <v>20</v>
      </c>
      <c r="E50" t="s">
        <v>30</v>
      </c>
      <c r="F50" t="s">
        <v>33</v>
      </c>
      <c r="G50">
        <v>2</v>
      </c>
      <c r="H50">
        <v>386.45</v>
      </c>
      <c r="I50">
        <v>772.9</v>
      </c>
      <c r="J50">
        <v>565.5</v>
      </c>
      <c r="K50">
        <v>207.4</v>
      </c>
      <c r="L50" t="s">
        <v>39</v>
      </c>
    </row>
    <row r="51" spans="1:12">
      <c r="A51" t="s">
        <v>101</v>
      </c>
      <c r="B51" s="1">
        <v>46041</v>
      </c>
      <c r="C51" t="s">
        <v>70</v>
      </c>
      <c r="D51" t="s">
        <v>23</v>
      </c>
      <c r="E51" t="s">
        <v>15</v>
      </c>
      <c r="F51" t="s">
        <v>43</v>
      </c>
      <c r="G51">
        <v>5</v>
      </c>
      <c r="H51">
        <v>445.66</v>
      </c>
      <c r="I51">
        <v>2228.3000000000002</v>
      </c>
      <c r="J51">
        <v>1736.8</v>
      </c>
      <c r="K51">
        <v>491.5</v>
      </c>
      <c r="L51" t="s">
        <v>44</v>
      </c>
    </row>
    <row r="52" spans="1:12">
      <c r="A52" t="s">
        <v>102</v>
      </c>
      <c r="B52" s="1">
        <v>46024</v>
      </c>
      <c r="C52" t="s">
        <v>28</v>
      </c>
      <c r="D52" t="s">
        <v>23</v>
      </c>
      <c r="E52" t="s">
        <v>46</v>
      </c>
      <c r="F52" t="s">
        <v>47</v>
      </c>
      <c r="G52">
        <v>2</v>
      </c>
      <c r="H52">
        <v>18.989999999999998</v>
      </c>
      <c r="I52">
        <v>37.979999999999997</v>
      </c>
      <c r="J52">
        <v>27.62</v>
      </c>
      <c r="K52">
        <v>10.36</v>
      </c>
      <c r="L52" t="s">
        <v>44</v>
      </c>
    </row>
    <row r="53" spans="1:12">
      <c r="A53" t="s">
        <v>103</v>
      </c>
      <c r="B53" s="1">
        <v>46054</v>
      </c>
      <c r="C53" t="s">
        <v>70</v>
      </c>
      <c r="D53" t="s">
        <v>20</v>
      </c>
      <c r="E53" t="s">
        <v>24</v>
      </c>
      <c r="F53" t="s">
        <v>25</v>
      </c>
      <c r="G53">
        <v>2</v>
      </c>
      <c r="H53">
        <v>115.07</v>
      </c>
      <c r="I53">
        <v>230.14</v>
      </c>
      <c r="J53">
        <v>183.59</v>
      </c>
      <c r="K53">
        <v>46.55</v>
      </c>
      <c r="L53" t="s">
        <v>17</v>
      </c>
    </row>
    <row r="54" spans="1:12">
      <c r="A54" t="s">
        <v>104</v>
      </c>
      <c r="B54" s="1">
        <v>46163</v>
      </c>
      <c r="C54" t="s">
        <v>70</v>
      </c>
      <c r="D54" t="s">
        <v>20</v>
      </c>
      <c r="E54" t="s">
        <v>30</v>
      </c>
      <c r="F54" t="s">
        <v>38</v>
      </c>
      <c r="G54">
        <v>5</v>
      </c>
      <c r="H54">
        <v>103.52</v>
      </c>
      <c r="I54">
        <v>517.6</v>
      </c>
      <c r="J54">
        <v>344.32</v>
      </c>
      <c r="K54">
        <v>173.28</v>
      </c>
      <c r="L54" t="s">
        <v>17</v>
      </c>
    </row>
    <row r="55" spans="1:12">
      <c r="A55" t="s">
        <v>105</v>
      </c>
      <c r="B55" s="1">
        <v>46156</v>
      </c>
      <c r="C55" t="s">
        <v>70</v>
      </c>
      <c r="D55" t="s">
        <v>20</v>
      </c>
      <c r="E55" t="s">
        <v>46</v>
      </c>
      <c r="F55" t="s">
        <v>50</v>
      </c>
      <c r="G55">
        <v>3</v>
      </c>
      <c r="H55">
        <v>80.14</v>
      </c>
      <c r="I55">
        <v>240.42</v>
      </c>
      <c r="J55">
        <v>181.94</v>
      </c>
      <c r="K55">
        <v>58.48</v>
      </c>
      <c r="L55" t="s">
        <v>26</v>
      </c>
    </row>
    <row r="56" spans="1:12">
      <c r="A56" t="s">
        <v>106</v>
      </c>
      <c r="B56" s="1">
        <v>46104</v>
      </c>
      <c r="C56" t="s">
        <v>19</v>
      </c>
      <c r="D56" t="s">
        <v>14</v>
      </c>
      <c r="E56" t="s">
        <v>46</v>
      </c>
      <c r="F56" t="s">
        <v>61</v>
      </c>
      <c r="G56">
        <v>2</v>
      </c>
      <c r="H56">
        <v>165.57</v>
      </c>
      <c r="I56">
        <v>331.14</v>
      </c>
      <c r="J56">
        <v>206.42</v>
      </c>
      <c r="K56">
        <v>124.72</v>
      </c>
      <c r="L56" t="s">
        <v>44</v>
      </c>
    </row>
    <row r="57" spans="1:12">
      <c r="A57" t="s">
        <v>107</v>
      </c>
      <c r="B57" s="1">
        <v>46039</v>
      </c>
      <c r="C57" t="s">
        <v>67</v>
      </c>
      <c r="D57" t="s">
        <v>23</v>
      </c>
      <c r="E57" t="s">
        <v>24</v>
      </c>
      <c r="F57" t="s">
        <v>41</v>
      </c>
      <c r="G57">
        <v>2</v>
      </c>
      <c r="H57">
        <v>156.61000000000001</v>
      </c>
      <c r="I57">
        <v>313.22000000000003</v>
      </c>
      <c r="J57">
        <v>232.01</v>
      </c>
      <c r="K57">
        <v>81.209999999999994</v>
      </c>
      <c r="L57" t="s">
        <v>26</v>
      </c>
    </row>
    <row r="58" spans="1:12">
      <c r="A58" t="s">
        <v>108</v>
      </c>
      <c r="B58" s="1">
        <v>46172</v>
      </c>
      <c r="C58" t="s">
        <v>22</v>
      </c>
      <c r="D58" t="s">
        <v>14</v>
      </c>
      <c r="E58" t="s">
        <v>46</v>
      </c>
      <c r="F58" t="s">
        <v>47</v>
      </c>
      <c r="G58">
        <v>4</v>
      </c>
      <c r="H58">
        <v>7.18</v>
      </c>
      <c r="I58">
        <v>28.72</v>
      </c>
      <c r="J58">
        <v>18.82</v>
      </c>
      <c r="K58">
        <v>9.9</v>
      </c>
      <c r="L58" t="s">
        <v>17</v>
      </c>
    </row>
    <row r="59" spans="1:12">
      <c r="A59" t="s">
        <v>109</v>
      </c>
      <c r="B59" s="1">
        <v>46130</v>
      </c>
      <c r="C59" t="s">
        <v>19</v>
      </c>
      <c r="D59" t="s">
        <v>20</v>
      </c>
      <c r="E59" t="s">
        <v>46</v>
      </c>
      <c r="F59" t="s">
        <v>61</v>
      </c>
      <c r="G59">
        <v>3</v>
      </c>
      <c r="H59">
        <v>209.12</v>
      </c>
      <c r="I59">
        <v>627.36</v>
      </c>
      <c r="J59">
        <v>472.68</v>
      </c>
      <c r="K59">
        <v>154.68</v>
      </c>
      <c r="L59" t="s">
        <v>17</v>
      </c>
    </row>
    <row r="60" spans="1:12">
      <c r="A60" t="s">
        <v>110</v>
      </c>
      <c r="B60" s="1">
        <v>46194</v>
      </c>
      <c r="C60" t="s">
        <v>13</v>
      </c>
      <c r="D60" t="s">
        <v>23</v>
      </c>
      <c r="E60" t="s">
        <v>24</v>
      </c>
      <c r="F60" t="s">
        <v>83</v>
      </c>
      <c r="G60">
        <v>1</v>
      </c>
      <c r="H60">
        <v>124.09</v>
      </c>
      <c r="I60">
        <v>124.09</v>
      </c>
      <c r="J60">
        <v>81.28</v>
      </c>
      <c r="K60">
        <v>42.81</v>
      </c>
      <c r="L60" t="s">
        <v>44</v>
      </c>
    </row>
    <row r="61" spans="1:12">
      <c r="A61" t="s">
        <v>111</v>
      </c>
      <c r="B61" s="1">
        <v>46123</v>
      </c>
      <c r="C61" t="s">
        <v>59</v>
      </c>
      <c r="D61" t="s">
        <v>14</v>
      </c>
      <c r="E61" t="s">
        <v>46</v>
      </c>
      <c r="F61" t="s">
        <v>71</v>
      </c>
      <c r="G61">
        <v>5</v>
      </c>
      <c r="H61">
        <v>118.17</v>
      </c>
      <c r="I61">
        <v>590.85</v>
      </c>
      <c r="J61">
        <v>329.27</v>
      </c>
      <c r="K61">
        <v>261.58</v>
      </c>
      <c r="L61" t="s">
        <v>39</v>
      </c>
    </row>
    <row r="62" spans="1:12">
      <c r="A62" t="s">
        <v>112</v>
      </c>
      <c r="B62" s="1">
        <v>46120</v>
      </c>
      <c r="C62" t="s">
        <v>57</v>
      </c>
      <c r="D62" t="s">
        <v>20</v>
      </c>
      <c r="E62" t="s">
        <v>46</v>
      </c>
      <c r="F62" t="s">
        <v>71</v>
      </c>
      <c r="G62">
        <v>2</v>
      </c>
      <c r="H62">
        <v>107.35</v>
      </c>
      <c r="I62">
        <v>214.7</v>
      </c>
      <c r="J62">
        <v>121</v>
      </c>
      <c r="K62">
        <v>93.7</v>
      </c>
      <c r="L62" t="s">
        <v>17</v>
      </c>
    </row>
    <row r="63" spans="1:12">
      <c r="A63" t="s">
        <v>113</v>
      </c>
      <c r="B63" s="1">
        <v>46130</v>
      </c>
      <c r="C63" t="s">
        <v>74</v>
      </c>
      <c r="D63" t="s">
        <v>14</v>
      </c>
      <c r="E63" t="s">
        <v>30</v>
      </c>
      <c r="F63" t="s">
        <v>80</v>
      </c>
      <c r="G63">
        <v>4</v>
      </c>
      <c r="H63">
        <v>63.29</v>
      </c>
      <c r="I63">
        <v>253.16</v>
      </c>
      <c r="J63">
        <v>158.26</v>
      </c>
      <c r="K63">
        <v>94.9</v>
      </c>
      <c r="L63" t="s">
        <v>17</v>
      </c>
    </row>
    <row r="64" spans="1:12">
      <c r="A64" t="s">
        <v>114</v>
      </c>
      <c r="B64" s="1">
        <v>46040</v>
      </c>
      <c r="C64" t="s">
        <v>13</v>
      </c>
      <c r="D64" t="s">
        <v>14</v>
      </c>
      <c r="E64" t="s">
        <v>15</v>
      </c>
      <c r="F64" t="s">
        <v>16</v>
      </c>
      <c r="G64">
        <v>3</v>
      </c>
      <c r="H64">
        <v>1399.94</v>
      </c>
      <c r="I64">
        <v>4199.82</v>
      </c>
      <c r="J64">
        <v>2564.16</v>
      </c>
      <c r="K64">
        <v>1635.66</v>
      </c>
      <c r="L64" t="s">
        <v>39</v>
      </c>
    </row>
    <row r="65" spans="1:12">
      <c r="A65" t="s">
        <v>115</v>
      </c>
      <c r="B65" s="1">
        <v>46055</v>
      </c>
      <c r="C65" t="s">
        <v>70</v>
      </c>
      <c r="D65" t="s">
        <v>14</v>
      </c>
      <c r="E65" t="s">
        <v>24</v>
      </c>
      <c r="F65" t="s">
        <v>41</v>
      </c>
      <c r="G65">
        <v>5</v>
      </c>
      <c r="H65">
        <v>247.85</v>
      </c>
      <c r="I65">
        <v>1239.25</v>
      </c>
      <c r="J65">
        <v>732.57</v>
      </c>
      <c r="K65">
        <v>506.68</v>
      </c>
      <c r="L65" t="s">
        <v>44</v>
      </c>
    </row>
    <row r="66" spans="1:12">
      <c r="A66" t="s">
        <v>116</v>
      </c>
      <c r="B66" s="1">
        <v>46052</v>
      </c>
      <c r="C66" t="s">
        <v>53</v>
      </c>
      <c r="D66" t="s">
        <v>29</v>
      </c>
      <c r="E66" t="s">
        <v>46</v>
      </c>
      <c r="F66" t="s">
        <v>50</v>
      </c>
      <c r="G66">
        <v>2</v>
      </c>
      <c r="H66">
        <v>81.349999999999994</v>
      </c>
      <c r="I66">
        <v>162.69999999999999</v>
      </c>
      <c r="J66">
        <v>116.1</v>
      </c>
      <c r="K66">
        <v>46.6</v>
      </c>
      <c r="L66" t="s">
        <v>39</v>
      </c>
    </row>
    <row r="67" spans="1:12">
      <c r="A67" t="s">
        <v>117</v>
      </c>
      <c r="B67" s="1">
        <v>46073</v>
      </c>
      <c r="C67" t="s">
        <v>28</v>
      </c>
      <c r="D67" t="s">
        <v>20</v>
      </c>
      <c r="E67" t="s">
        <v>15</v>
      </c>
      <c r="F67" t="s">
        <v>54</v>
      </c>
      <c r="G67">
        <v>4</v>
      </c>
      <c r="H67">
        <v>509.11</v>
      </c>
      <c r="I67">
        <v>2036.44</v>
      </c>
      <c r="J67">
        <v>1338.14</v>
      </c>
      <c r="K67">
        <v>698.3</v>
      </c>
      <c r="L67" t="s">
        <v>39</v>
      </c>
    </row>
    <row r="68" spans="1:12">
      <c r="A68" t="s">
        <v>118</v>
      </c>
      <c r="B68" s="1">
        <v>46111</v>
      </c>
      <c r="C68" t="s">
        <v>19</v>
      </c>
      <c r="D68" t="s">
        <v>23</v>
      </c>
      <c r="E68" t="s">
        <v>30</v>
      </c>
      <c r="F68" t="s">
        <v>33</v>
      </c>
      <c r="G68">
        <v>5</v>
      </c>
      <c r="H68">
        <v>378.68</v>
      </c>
      <c r="I68">
        <v>1893.4</v>
      </c>
      <c r="J68">
        <v>1441.47</v>
      </c>
      <c r="K68">
        <v>451.93</v>
      </c>
      <c r="L68" t="s">
        <v>26</v>
      </c>
    </row>
    <row r="69" spans="1:12">
      <c r="A69" t="s">
        <v>119</v>
      </c>
      <c r="B69" s="1">
        <v>46050</v>
      </c>
      <c r="C69" t="s">
        <v>67</v>
      </c>
      <c r="D69" t="s">
        <v>29</v>
      </c>
      <c r="E69" t="s">
        <v>15</v>
      </c>
      <c r="F69" t="s">
        <v>54</v>
      </c>
      <c r="G69">
        <v>4</v>
      </c>
      <c r="H69">
        <v>255.69</v>
      </c>
      <c r="I69">
        <v>1022.76</v>
      </c>
      <c r="J69">
        <v>789.6</v>
      </c>
      <c r="K69">
        <v>233.16</v>
      </c>
      <c r="L69" t="s">
        <v>17</v>
      </c>
    </row>
    <row r="70" spans="1:12">
      <c r="A70" t="s">
        <v>120</v>
      </c>
      <c r="B70" s="1">
        <v>46092</v>
      </c>
      <c r="C70" t="s">
        <v>59</v>
      </c>
      <c r="D70" t="s">
        <v>23</v>
      </c>
      <c r="E70" t="s">
        <v>24</v>
      </c>
      <c r="F70" t="s">
        <v>25</v>
      </c>
      <c r="G70">
        <v>5</v>
      </c>
      <c r="H70">
        <v>152.84</v>
      </c>
      <c r="I70">
        <v>764.2</v>
      </c>
      <c r="J70">
        <v>619.52</v>
      </c>
      <c r="K70">
        <v>144.68</v>
      </c>
      <c r="L70" t="s">
        <v>17</v>
      </c>
    </row>
    <row r="71" spans="1:12">
      <c r="A71" t="s">
        <v>121</v>
      </c>
      <c r="B71" s="1">
        <v>46045</v>
      </c>
      <c r="C71" t="s">
        <v>74</v>
      </c>
      <c r="D71" t="s">
        <v>23</v>
      </c>
      <c r="E71" t="s">
        <v>46</v>
      </c>
      <c r="F71" t="s">
        <v>50</v>
      </c>
      <c r="G71">
        <v>2</v>
      </c>
      <c r="H71">
        <v>45.78</v>
      </c>
      <c r="I71">
        <v>91.56</v>
      </c>
      <c r="J71">
        <v>70.89</v>
      </c>
      <c r="K71">
        <v>20.67</v>
      </c>
      <c r="L71" t="s">
        <v>44</v>
      </c>
    </row>
    <row r="72" spans="1:12">
      <c r="A72" t="s">
        <v>122</v>
      </c>
      <c r="B72" s="1">
        <v>46069</v>
      </c>
      <c r="C72" t="s">
        <v>70</v>
      </c>
      <c r="D72" t="s">
        <v>20</v>
      </c>
      <c r="E72" t="s">
        <v>46</v>
      </c>
      <c r="F72" t="s">
        <v>47</v>
      </c>
      <c r="G72">
        <v>4</v>
      </c>
      <c r="H72">
        <v>16.77</v>
      </c>
      <c r="I72">
        <v>67.08</v>
      </c>
      <c r="J72">
        <v>52.31</v>
      </c>
      <c r="K72">
        <v>14.77</v>
      </c>
      <c r="L72" t="s">
        <v>26</v>
      </c>
    </row>
    <row r="73" spans="1:12">
      <c r="A73" t="s">
        <v>123</v>
      </c>
      <c r="B73" s="1">
        <v>46093</v>
      </c>
      <c r="C73" t="s">
        <v>19</v>
      </c>
      <c r="D73" t="s">
        <v>14</v>
      </c>
      <c r="E73" t="s">
        <v>30</v>
      </c>
      <c r="F73" t="s">
        <v>80</v>
      </c>
      <c r="G73">
        <v>5</v>
      </c>
      <c r="H73">
        <v>29.58</v>
      </c>
      <c r="I73">
        <v>147.9</v>
      </c>
      <c r="J73">
        <v>109.35</v>
      </c>
      <c r="K73">
        <v>38.549999999999997</v>
      </c>
      <c r="L73" t="s">
        <v>44</v>
      </c>
    </row>
    <row r="74" spans="1:12">
      <c r="A74" t="s">
        <v>124</v>
      </c>
      <c r="B74" s="1">
        <v>46084</v>
      </c>
      <c r="C74" t="s">
        <v>22</v>
      </c>
      <c r="D74" t="s">
        <v>23</v>
      </c>
      <c r="E74" t="s">
        <v>15</v>
      </c>
      <c r="F74" t="s">
        <v>43</v>
      </c>
      <c r="G74">
        <v>4</v>
      </c>
      <c r="H74">
        <v>374.42</v>
      </c>
      <c r="I74">
        <v>1497.68</v>
      </c>
      <c r="J74">
        <v>1048.22</v>
      </c>
      <c r="K74">
        <v>449.46</v>
      </c>
      <c r="L74" t="s">
        <v>17</v>
      </c>
    </row>
    <row r="75" spans="1:12">
      <c r="A75" t="s">
        <v>125</v>
      </c>
      <c r="B75" s="1">
        <v>46085</v>
      </c>
      <c r="C75" t="s">
        <v>74</v>
      </c>
      <c r="D75" t="s">
        <v>29</v>
      </c>
      <c r="E75" t="s">
        <v>46</v>
      </c>
      <c r="F75" t="s">
        <v>61</v>
      </c>
      <c r="G75">
        <v>2</v>
      </c>
      <c r="H75">
        <v>47.68</v>
      </c>
      <c r="I75">
        <v>95.36</v>
      </c>
      <c r="J75">
        <v>62.86</v>
      </c>
      <c r="K75">
        <v>32.5</v>
      </c>
      <c r="L75" t="s">
        <v>17</v>
      </c>
    </row>
    <row r="76" spans="1:12">
      <c r="A76" t="s">
        <v>126</v>
      </c>
      <c r="B76" s="1">
        <v>46202</v>
      </c>
      <c r="C76" t="s">
        <v>70</v>
      </c>
      <c r="D76" t="s">
        <v>29</v>
      </c>
      <c r="E76" t="s">
        <v>30</v>
      </c>
      <c r="F76" t="s">
        <v>38</v>
      </c>
      <c r="G76">
        <v>5</v>
      </c>
      <c r="H76">
        <v>149.6</v>
      </c>
      <c r="I76">
        <v>748</v>
      </c>
      <c r="J76">
        <v>478.21</v>
      </c>
      <c r="K76">
        <v>269.79000000000002</v>
      </c>
      <c r="L76" t="s">
        <v>26</v>
      </c>
    </row>
    <row r="77" spans="1:12">
      <c r="A77" t="s">
        <v>127</v>
      </c>
      <c r="B77" s="1">
        <v>46160</v>
      </c>
      <c r="C77" t="s">
        <v>22</v>
      </c>
      <c r="D77" t="s">
        <v>20</v>
      </c>
      <c r="E77" t="s">
        <v>30</v>
      </c>
      <c r="F77" t="s">
        <v>31</v>
      </c>
      <c r="G77">
        <v>2</v>
      </c>
      <c r="H77">
        <v>32.07</v>
      </c>
      <c r="I77">
        <v>64.14</v>
      </c>
      <c r="J77">
        <v>40.74</v>
      </c>
      <c r="K77">
        <v>23.4</v>
      </c>
      <c r="L77" t="s">
        <v>44</v>
      </c>
    </row>
    <row r="78" spans="1:12">
      <c r="A78" t="s">
        <v>128</v>
      </c>
      <c r="B78" s="1">
        <v>46157</v>
      </c>
      <c r="C78" t="s">
        <v>59</v>
      </c>
      <c r="D78" t="s">
        <v>29</v>
      </c>
      <c r="E78" t="s">
        <v>24</v>
      </c>
      <c r="F78" t="s">
        <v>25</v>
      </c>
      <c r="G78">
        <v>5</v>
      </c>
      <c r="H78">
        <v>182.95</v>
      </c>
      <c r="I78">
        <v>914.75</v>
      </c>
      <c r="J78">
        <v>744.32</v>
      </c>
      <c r="K78">
        <v>170.43</v>
      </c>
      <c r="L78" t="s">
        <v>39</v>
      </c>
    </row>
    <row r="79" spans="1:12">
      <c r="A79" t="s">
        <v>129</v>
      </c>
      <c r="B79" s="1">
        <v>46204</v>
      </c>
      <c r="C79" t="s">
        <v>19</v>
      </c>
      <c r="D79" t="s">
        <v>20</v>
      </c>
      <c r="E79" t="s">
        <v>24</v>
      </c>
      <c r="F79" t="s">
        <v>83</v>
      </c>
      <c r="G79">
        <v>2</v>
      </c>
      <c r="H79">
        <v>88.67</v>
      </c>
      <c r="I79">
        <v>177.34</v>
      </c>
      <c r="J79">
        <v>112.01</v>
      </c>
      <c r="K79">
        <v>65.33</v>
      </c>
      <c r="L79" t="s">
        <v>26</v>
      </c>
    </row>
    <row r="80" spans="1:12">
      <c r="A80" t="s">
        <v>130</v>
      </c>
      <c r="B80" s="1">
        <v>46148</v>
      </c>
      <c r="C80" t="s">
        <v>28</v>
      </c>
      <c r="D80" t="s">
        <v>14</v>
      </c>
      <c r="E80" t="s">
        <v>15</v>
      </c>
      <c r="F80" t="s">
        <v>16</v>
      </c>
      <c r="G80">
        <v>2</v>
      </c>
      <c r="H80">
        <v>1087.3499999999999</v>
      </c>
      <c r="I80">
        <v>2174.6999999999998</v>
      </c>
      <c r="J80">
        <v>1570.62</v>
      </c>
      <c r="K80">
        <v>604.08000000000004</v>
      </c>
      <c r="L80" t="s">
        <v>26</v>
      </c>
    </row>
    <row r="81" spans="1:12">
      <c r="A81" t="s">
        <v>131</v>
      </c>
      <c r="B81" s="1">
        <v>46087</v>
      </c>
      <c r="C81" t="s">
        <v>70</v>
      </c>
      <c r="D81" t="s">
        <v>14</v>
      </c>
      <c r="E81" t="s">
        <v>46</v>
      </c>
      <c r="F81" t="s">
        <v>47</v>
      </c>
      <c r="G81">
        <v>2</v>
      </c>
      <c r="H81">
        <v>20.420000000000002</v>
      </c>
      <c r="I81">
        <v>40.840000000000003</v>
      </c>
      <c r="J81">
        <v>33.11</v>
      </c>
      <c r="K81">
        <v>7.73</v>
      </c>
      <c r="L81" t="s">
        <v>39</v>
      </c>
    </row>
    <row r="82" spans="1:12">
      <c r="A82" t="s">
        <v>132</v>
      </c>
      <c r="B82" s="1">
        <v>46167</v>
      </c>
      <c r="C82" t="s">
        <v>74</v>
      </c>
      <c r="D82" t="s">
        <v>14</v>
      </c>
      <c r="E82" t="s">
        <v>46</v>
      </c>
      <c r="F82" t="s">
        <v>47</v>
      </c>
      <c r="G82">
        <v>1</v>
      </c>
      <c r="H82">
        <v>7.59</v>
      </c>
      <c r="I82">
        <v>7.59</v>
      </c>
      <c r="J82">
        <v>4.49</v>
      </c>
      <c r="K82">
        <v>3.1</v>
      </c>
      <c r="L82" t="s">
        <v>44</v>
      </c>
    </row>
    <row r="83" spans="1:12">
      <c r="A83" t="s">
        <v>133</v>
      </c>
      <c r="B83" s="1">
        <v>46156</v>
      </c>
      <c r="C83" t="s">
        <v>67</v>
      </c>
      <c r="D83" t="s">
        <v>23</v>
      </c>
      <c r="E83" t="s">
        <v>15</v>
      </c>
      <c r="F83" t="s">
        <v>77</v>
      </c>
      <c r="G83">
        <v>5</v>
      </c>
      <c r="H83">
        <v>724.42</v>
      </c>
      <c r="I83">
        <v>3622.1</v>
      </c>
      <c r="J83">
        <v>2212.87</v>
      </c>
      <c r="K83">
        <v>1409.23</v>
      </c>
      <c r="L83" t="s">
        <v>17</v>
      </c>
    </row>
    <row r="84" spans="1:12">
      <c r="A84" t="s">
        <v>134</v>
      </c>
      <c r="B84" s="1">
        <v>46048</v>
      </c>
      <c r="C84" t="s">
        <v>35</v>
      </c>
      <c r="D84" t="s">
        <v>20</v>
      </c>
      <c r="E84" t="s">
        <v>30</v>
      </c>
      <c r="F84" t="s">
        <v>38</v>
      </c>
      <c r="G84">
        <v>5</v>
      </c>
      <c r="H84">
        <v>66.650000000000006</v>
      </c>
      <c r="I84">
        <v>333.25</v>
      </c>
      <c r="J84">
        <v>188.71</v>
      </c>
      <c r="K84">
        <v>144.54</v>
      </c>
      <c r="L84" t="s">
        <v>26</v>
      </c>
    </row>
    <row r="85" spans="1:12">
      <c r="A85" t="s">
        <v>135</v>
      </c>
      <c r="B85" s="1">
        <v>46023</v>
      </c>
      <c r="C85" t="s">
        <v>67</v>
      </c>
      <c r="D85" t="s">
        <v>23</v>
      </c>
      <c r="E85" t="s">
        <v>15</v>
      </c>
      <c r="F85" t="s">
        <v>43</v>
      </c>
      <c r="G85">
        <v>5</v>
      </c>
      <c r="H85">
        <v>244.76</v>
      </c>
      <c r="I85">
        <v>1223.8</v>
      </c>
      <c r="J85">
        <v>697.89</v>
      </c>
      <c r="K85">
        <v>525.91</v>
      </c>
      <c r="L85" t="s">
        <v>17</v>
      </c>
    </row>
    <row r="86" spans="1:12">
      <c r="A86" t="s">
        <v>136</v>
      </c>
      <c r="B86" s="1">
        <v>46139</v>
      </c>
      <c r="C86" t="s">
        <v>28</v>
      </c>
      <c r="D86" t="s">
        <v>20</v>
      </c>
      <c r="E86" t="s">
        <v>30</v>
      </c>
      <c r="F86" t="s">
        <v>33</v>
      </c>
      <c r="G86">
        <v>3</v>
      </c>
      <c r="H86">
        <v>181.02</v>
      </c>
      <c r="I86">
        <v>543.05999999999995</v>
      </c>
      <c r="J86">
        <v>401.76</v>
      </c>
      <c r="K86">
        <v>141.30000000000001</v>
      </c>
      <c r="L86" t="s">
        <v>26</v>
      </c>
    </row>
    <row r="87" spans="1:12">
      <c r="A87" t="s">
        <v>137</v>
      </c>
      <c r="B87" s="1">
        <v>46091</v>
      </c>
      <c r="C87" t="s">
        <v>53</v>
      </c>
      <c r="D87" t="s">
        <v>14</v>
      </c>
      <c r="E87" t="s">
        <v>24</v>
      </c>
      <c r="F87" t="s">
        <v>25</v>
      </c>
      <c r="G87">
        <v>2</v>
      </c>
      <c r="H87">
        <v>134.43</v>
      </c>
      <c r="I87">
        <v>268.86</v>
      </c>
      <c r="J87">
        <v>194.89</v>
      </c>
      <c r="K87">
        <v>73.97</v>
      </c>
      <c r="L87" t="s">
        <v>39</v>
      </c>
    </row>
    <row r="88" spans="1:12">
      <c r="A88" t="s">
        <v>138</v>
      </c>
      <c r="B88" s="1">
        <v>46135</v>
      </c>
      <c r="C88" t="s">
        <v>28</v>
      </c>
      <c r="D88" t="s">
        <v>23</v>
      </c>
      <c r="E88" t="s">
        <v>24</v>
      </c>
      <c r="F88" t="s">
        <v>83</v>
      </c>
      <c r="G88">
        <v>5</v>
      </c>
      <c r="H88">
        <v>151.16</v>
      </c>
      <c r="I88">
        <v>755.8</v>
      </c>
      <c r="J88">
        <v>603.66999999999996</v>
      </c>
      <c r="K88">
        <v>152.13</v>
      </c>
      <c r="L88" t="s">
        <v>26</v>
      </c>
    </row>
    <row r="89" spans="1:12">
      <c r="A89" t="s">
        <v>139</v>
      </c>
      <c r="B89" s="1">
        <v>46176</v>
      </c>
      <c r="C89" t="s">
        <v>49</v>
      </c>
      <c r="D89" t="s">
        <v>23</v>
      </c>
      <c r="E89" t="s">
        <v>46</v>
      </c>
      <c r="F89" t="s">
        <v>50</v>
      </c>
      <c r="G89">
        <v>4</v>
      </c>
      <c r="H89">
        <v>60.04</v>
      </c>
      <c r="I89">
        <v>240.16</v>
      </c>
      <c r="J89">
        <v>160.47</v>
      </c>
      <c r="K89">
        <v>79.69</v>
      </c>
      <c r="L89" t="s">
        <v>26</v>
      </c>
    </row>
    <row r="90" spans="1:12">
      <c r="A90" t="s">
        <v>140</v>
      </c>
      <c r="B90" s="1">
        <v>46028</v>
      </c>
      <c r="C90" t="s">
        <v>13</v>
      </c>
      <c r="D90" t="s">
        <v>29</v>
      </c>
      <c r="E90" t="s">
        <v>30</v>
      </c>
      <c r="F90" t="s">
        <v>33</v>
      </c>
      <c r="G90">
        <v>5</v>
      </c>
      <c r="H90">
        <v>131.96</v>
      </c>
      <c r="I90">
        <v>659.8</v>
      </c>
      <c r="J90">
        <v>467.48</v>
      </c>
      <c r="K90">
        <v>192.32</v>
      </c>
      <c r="L90" t="s">
        <v>39</v>
      </c>
    </row>
    <row r="91" spans="1:12">
      <c r="A91" t="s">
        <v>141</v>
      </c>
      <c r="B91" s="1">
        <v>46069</v>
      </c>
      <c r="C91" t="s">
        <v>59</v>
      </c>
      <c r="D91" t="s">
        <v>23</v>
      </c>
      <c r="E91" t="s">
        <v>24</v>
      </c>
      <c r="F91" t="s">
        <v>25</v>
      </c>
      <c r="G91">
        <v>4</v>
      </c>
      <c r="H91">
        <v>255.69</v>
      </c>
      <c r="I91">
        <v>1022.76</v>
      </c>
      <c r="J91">
        <v>815.49</v>
      </c>
      <c r="K91">
        <v>207.27</v>
      </c>
      <c r="L91" t="s">
        <v>17</v>
      </c>
    </row>
    <row r="92" spans="1:12">
      <c r="A92" t="s">
        <v>142</v>
      </c>
      <c r="B92" s="1">
        <v>46049</v>
      </c>
      <c r="C92" t="s">
        <v>53</v>
      </c>
      <c r="D92" t="s">
        <v>29</v>
      </c>
      <c r="E92" t="s">
        <v>15</v>
      </c>
      <c r="F92" t="s">
        <v>77</v>
      </c>
      <c r="G92">
        <v>3</v>
      </c>
      <c r="H92">
        <v>543.57000000000005</v>
      </c>
      <c r="I92">
        <v>1630.71</v>
      </c>
      <c r="J92">
        <v>1038.25</v>
      </c>
      <c r="K92">
        <v>592.46</v>
      </c>
      <c r="L92" t="s">
        <v>17</v>
      </c>
    </row>
    <row r="93" spans="1:12">
      <c r="A93" t="s">
        <v>143</v>
      </c>
      <c r="B93" s="1">
        <v>46163</v>
      </c>
      <c r="C93" t="s">
        <v>49</v>
      </c>
      <c r="D93" t="s">
        <v>23</v>
      </c>
      <c r="E93" t="s">
        <v>46</v>
      </c>
      <c r="F93" t="s">
        <v>50</v>
      </c>
      <c r="G93">
        <v>4</v>
      </c>
      <c r="H93">
        <v>73.010000000000005</v>
      </c>
      <c r="I93">
        <v>292.04000000000002</v>
      </c>
      <c r="J93">
        <v>224.77</v>
      </c>
      <c r="K93">
        <v>67.27</v>
      </c>
      <c r="L93" t="s">
        <v>39</v>
      </c>
    </row>
    <row r="94" spans="1:12">
      <c r="A94" t="s">
        <v>144</v>
      </c>
      <c r="B94" s="1">
        <v>46023</v>
      </c>
      <c r="C94" t="s">
        <v>13</v>
      </c>
      <c r="D94" t="s">
        <v>23</v>
      </c>
      <c r="E94" t="s">
        <v>30</v>
      </c>
      <c r="F94" t="s">
        <v>80</v>
      </c>
      <c r="G94">
        <v>4</v>
      </c>
      <c r="H94">
        <v>32.630000000000003</v>
      </c>
      <c r="I94">
        <v>130.52000000000001</v>
      </c>
      <c r="J94">
        <v>102.27</v>
      </c>
      <c r="K94">
        <v>28.25</v>
      </c>
      <c r="L94" t="s">
        <v>17</v>
      </c>
    </row>
    <row r="95" spans="1:12">
      <c r="A95" t="s">
        <v>145</v>
      </c>
      <c r="B95" s="1">
        <v>46183</v>
      </c>
      <c r="C95" t="s">
        <v>70</v>
      </c>
      <c r="D95" t="s">
        <v>14</v>
      </c>
      <c r="E95" t="s">
        <v>15</v>
      </c>
      <c r="F95" t="s">
        <v>43</v>
      </c>
      <c r="G95">
        <v>5</v>
      </c>
      <c r="H95">
        <v>319.98</v>
      </c>
      <c r="I95">
        <v>1599.9</v>
      </c>
      <c r="J95">
        <v>1206.71</v>
      </c>
      <c r="K95">
        <v>393.19</v>
      </c>
      <c r="L95" t="s">
        <v>44</v>
      </c>
    </row>
    <row r="96" spans="1:12">
      <c r="A96" t="s">
        <v>146</v>
      </c>
      <c r="B96" s="1">
        <v>46147</v>
      </c>
      <c r="C96" t="s">
        <v>28</v>
      </c>
      <c r="D96" t="s">
        <v>14</v>
      </c>
      <c r="E96" t="s">
        <v>30</v>
      </c>
      <c r="F96" t="s">
        <v>31</v>
      </c>
      <c r="G96">
        <v>4</v>
      </c>
      <c r="H96">
        <v>112.77</v>
      </c>
      <c r="I96">
        <v>451.08</v>
      </c>
      <c r="J96">
        <v>355.37</v>
      </c>
      <c r="K96">
        <v>95.71</v>
      </c>
      <c r="L96" t="s">
        <v>44</v>
      </c>
    </row>
    <row r="97" spans="1:12">
      <c r="A97" t="s">
        <v>147</v>
      </c>
      <c r="B97" s="1">
        <v>46080</v>
      </c>
      <c r="C97" t="s">
        <v>28</v>
      </c>
      <c r="D97" t="s">
        <v>23</v>
      </c>
      <c r="E97" t="s">
        <v>24</v>
      </c>
      <c r="F97" t="s">
        <v>83</v>
      </c>
      <c r="G97">
        <v>5</v>
      </c>
      <c r="H97">
        <v>143.63999999999999</v>
      </c>
      <c r="I97">
        <v>718.2</v>
      </c>
      <c r="J97">
        <v>474.13</v>
      </c>
      <c r="K97">
        <v>244.07</v>
      </c>
      <c r="L97" t="s">
        <v>39</v>
      </c>
    </row>
    <row r="98" spans="1:12">
      <c r="A98" t="s">
        <v>148</v>
      </c>
      <c r="B98" s="1">
        <v>46092</v>
      </c>
      <c r="C98" t="s">
        <v>67</v>
      </c>
      <c r="D98" t="s">
        <v>23</v>
      </c>
      <c r="E98" t="s">
        <v>24</v>
      </c>
      <c r="F98" t="s">
        <v>25</v>
      </c>
      <c r="G98">
        <v>3</v>
      </c>
      <c r="H98">
        <v>379.8</v>
      </c>
      <c r="I98">
        <v>1139.4000000000001</v>
      </c>
      <c r="J98">
        <v>783.22</v>
      </c>
      <c r="K98">
        <v>356.18</v>
      </c>
      <c r="L98" t="s">
        <v>17</v>
      </c>
    </row>
    <row r="99" spans="1:12">
      <c r="A99" t="s">
        <v>149</v>
      </c>
      <c r="B99" s="1">
        <v>46176</v>
      </c>
      <c r="C99" t="s">
        <v>19</v>
      </c>
      <c r="D99" t="s">
        <v>20</v>
      </c>
      <c r="E99" t="s">
        <v>24</v>
      </c>
      <c r="F99" t="s">
        <v>25</v>
      </c>
      <c r="G99">
        <v>4</v>
      </c>
      <c r="H99">
        <v>265.38</v>
      </c>
      <c r="I99">
        <v>1061.52</v>
      </c>
      <c r="J99">
        <v>638.47</v>
      </c>
      <c r="K99">
        <v>423.05</v>
      </c>
      <c r="L99" t="s">
        <v>39</v>
      </c>
    </row>
    <row r="100" spans="1:12">
      <c r="A100" t="s">
        <v>150</v>
      </c>
      <c r="B100" s="1">
        <v>46023</v>
      </c>
      <c r="C100" t="s">
        <v>74</v>
      </c>
      <c r="D100" t="s">
        <v>29</v>
      </c>
      <c r="E100" t="s">
        <v>30</v>
      </c>
      <c r="F100" t="s">
        <v>38</v>
      </c>
      <c r="G100">
        <v>5</v>
      </c>
      <c r="H100">
        <v>70.790000000000006</v>
      </c>
      <c r="I100">
        <v>353.95</v>
      </c>
      <c r="J100">
        <v>220.21</v>
      </c>
      <c r="K100">
        <v>133.74</v>
      </c>
      <c r="L100" t="s">
        <v>17</v>
      </c>
    </row>
    <row r="101" spans="1:12">
      <c r="A101" t="s">
        <v>151</v>
      </c>
      <c r="B101" s="1">
        <v>46162</v>
      </c>
      <c r="C101" t="s">
        <v>67</v>
      </c>
      <c r="D101" t="s">
        <v>23</v>
      </c>
      <c r="E101" t="s">
        <v>24</v>
      </c>
      <c r="F101" t="s">
        <v>25</v>
      </c>
      <c r="G101">
        <v>3</v>
      </c>
      <c r="H101">
        <v>261.57</v>
      </c>
      <c r="I101">
        <v>784.71</v>
      </c>
      <c r="J101">
        <v>502.03</v>
      </c>
      <c r="K101">
        <v>282.68</v>
      </c>
      <c r="L1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0C47-83E8-42C3-9CDB-2454AB5F4824}">
  <dimension ref="A1:N1048576"/>
  <sheetViews>
    <sheetView zoomScale="84" zoomScaleNormal="84" workbookViewId="0">
      <pane ySplit="1" topLeftCell="A68" activePane="bottomLeft" state="frozen"/>
      <selection pane="bottomLeft" activeCell="A102" sqref="A102"/>
    </sheetView>
  </sheetViews>
  <sheetFormatPr defaultRowHeight="15"/>
  <cols>
    <col min="1" max="1" width="12.140625" bestFit="1" customWidth="1"/>
    <col min="2" max="2" width="14.28515625" style="1" bestFit="1" customWidth="1"/>
    <col min="3" max="3" width="12.140625" bestFit="1" customWidth="1"/>
    <col min="4" max="4" width="9.7109375" bestFit="1" customWidth="1"/>
    <col min="5" max="5" width="11.7109375" bestFit="1" customWidth="1"/>
    <col min="6" max="6" width="11.85546875" bestFit="1" customWidth="1"/>
    <col min="7" max="7" width="11.42578125" bestFit="1" customWidth="1"/>
    <col min="8" max="8" width="15" style="3" bestFit="1" customWidth="1"/>
    <col min="9" max="11" width="15" style="4" bestFit="1" customWidth="1"/>
    <col min="12" max="12" width="12.5703125" bestFit="1" customWidth="1"/>
    <col min="13" max="13" width="9" customWidth="1"/>
    <col min="14" max="14" width="11.5703125" bestFit="1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t="s">
        <v>11</v>
      </c>
    </row>
    <row r="2" spans="1:14">
      <c r="A2">
        <v>1</v>
      </c>
      <c r="B2" s="1">
        <v>46049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 s="3">
        <v>1219.0899999999999</v>
      </c>
      <c r="I2" s="4">
        <v>2438.1799999999998</v>
      </c>
      <c r="J2" s="4">
        <v>1487.94</v>
      </c>
      <c r="K2" s="4">
        <v>950.24</v>
      </c>
      <c r="L2" t="s">
        <v>17</v>
      </c>
      <c r="N2" s="4"/>
    </row>
    <row r="3" spans="1:14">
      <c r="A3">
        <v>2</v>
      </c>
      <c r="B3" s="1">
        <v>46029</v>
      </c>
      <c r="C3" t="s">
        <v>19</v>
      </c>
      <c r="D3" t="s">
        <v>20</v>
      </c>
      <c r="E3" t="s">
        <v>15</v>
      </c>
      <c r="F3" t="s">
        <v>16</v>
      </c>
      <c r="G3">
        <v>2</v>
      </c>
      <c r="H3" s="3">
        <v>765.59</v>
      </c>
      <c r="I3" s="4">
        <v>1531.18</v>
      </c>
      <c r="J3" s="4">
        <v>1051.07</v>
      </c>
      <c r="K3" s="4">
        <v>480.11</v>
      </c>
      <c r="L3" t="s">
        <v>17</v>
      </c>
    </row>
    <row r="4" spans="1:14">
      <c r="A4">
        <v>3</v>
      </c>
      <c r="B4" s="1">
        <v>46063</v>
      </c>
      <c r="C4" t="s">
        <v>22</v>
      </c>
      <c r="D4" t="s">
        <v>23</v>
      </c>
      <c r="E4" t="s">
        <v>24</v>
      </c>
      <c r="F4" t="s">
        <v>25</v>
      </c>
      <c r="G4">
        <v>1</v>
      </c>
      <c r="H4" s="3">
        <v>276.77999999999997</v>
      </c>
      <c r="I4" s="4">
        <v>276.77999999999997</v>
      </c>
      <c r="J4" s="4">
        <v>208.94</v>
      </c>
      <c r="K4" s="4">
        <v>67.84</v>
      </c>
      <c r="L4" t="s">
        <v>26</v>
      </c>
    </row>
    <row r="5" spans="1:14">
      <c r="A5">
        <v>4</v>
      </c>
      <c r="B5" s="1">
        <v>46120</v>
      </c>
      <c r="C5" t="s">
        <v>28</v>
      </c>
      <c r="D5" t="s">
        <v>29</v>
      </c>
      <c r="E5" t="s">
        <v>30</v>
      </c>
      <c r="F5" t="s">
        <v>31</v>
      </c>
      <c r="G5">
        <v>3</v>
      </c>
      <c r="H5" s="3">
        <v>41.53</v>
      </c>
      <c r="I5" s="4">
        <v>124.59</v>
      </c>
      <c r="J5" s="4">
        <v>71.959999999999994</v>
      </c>
      <c r="K5" s="4">
        <v>52.63</v>
      </c>
      <c r="L5" t="s">
        <v>26</v>
      </c>
    </row>
    <row r="6" spans="1:14">
      <c r="A6">
        <v>5</v>
      </c>
      <c r="B6" s="1">
        <v>46119</v>
      </c>
      <c r="C6" t="s">
        <v>28</v>
      </c>
      <c r="D6" t="s">
        <v>29</v>
      </c>
      <c r="E6" t="s">
        <v>30</v>
      </c>
      <c r="F6" t="s">
        <v>33</v>
      </c>
      <c r="G6">
        <v>5</v>
      </c>
      <c r="H6" s="3">
        <v>355.41</v>
      </c>
      <c r="I6" s="4">
        <v>1777.05</v>
      </c>
      <c r="J6" s="4">
        <v>1037.27</v>
      </c>
      <c r="K6" s="4">
        <v>739.78</v>
      </c>
      <c r="L6" t="s">
        <v>26</v>
      </c>
    </row>
    <row r="7" spans="1:14">
      <c r="A7">
        <v>6</v>
      </c>
      <c r="B7" s="1">
        <v>46043</v>
      </c>
      <c r="C7" t="s">
        <v>35</v>
      </c>
      <c r="D7" t="s">
        <v>14</v>
      </c>
      <c r="E7" t="s">
        <v>24</v>
      </c>
      <c r="F7" t="s">
        <v>36</v>
      </c>
      <c r="G7">
        <v>2</v>
      </c>
      <c r="H7" s="3">
        <v>130.54</v>
      </c>
      <c r="I7" s="4">
        <v>261.08</v>
      </c>
      <c r="J7" s="4">
        <v>198.09</v>
      </c>
      <c r="K7" s="4">
        <v>62.99</v>
      </c>
      <c r="L7" t="s">
        <v>17</v>
      </c>
    </row>
    <row r="8" spans="1:14">
      <c r="A8">
        <v>7</v>
      </c>
      <c r="B8" s="1">
        <v>46113</v>
      </c>
      <c r="C8" t="s">
        <v>35</v>
      </c>
      <c r="D8" t="s">
        <v>29</v>
      </c>
      <c r="E8" t="s">
        <v>30</v>
      </c>
      <c r="F8" t="s">
        <v>38</v>
      </c>
      <c r="G8">
        <v>3</v>
      </c>
      <c r="H8" s="3">
        <v>106.28</v>
      </c>
      <c r="I8" s="4">
        <v>318.83999999999997</v>
      </c>
      <c r="J8" s="4">
        <v>189.36</v>
      </c>
      <c r="K8" s="4">
        <v>129.47999999999999</v>
      </c>
      <c r="L8" t="s">
        <v>39</v>
      </c>
    </row>
    <row r="9" spans="1:14">
      <c r="A9">
        <v>8</v>
      </c>
      <c r="B9" s="1">
        <v>46186</v>
      </c>
      <c r="C9" t="s">
        <v>22</v>
      </c>
      <c r="D9" t="s">
        <v>20</v>
      </c>
      <c r="E9" t="s">
        <v>24</v>
      </c>
      <c r="F9" t="s">
        <v>41</v>
      </c>
      <c r="G9">
        <v>4</v>
      </c>
      <c r="H9" s="3">
        <v>112.68</v>
      </c>
      <c r="I9" s="4">
        <v>450.72</v>
      </c>
      <c r="J9" s="4">
        <v>280.75</v>
      </c>
      <c r="K9" s="4">
        <v>169.97</v>
      </c>
      <c r="L9" t="s">
        <v>26</v>
      </c>
    </row>
    <row r="10" spans="1:14">
      <c r="A10">
        <v>9</v>
      </c>
      <c r="B10" s="1">
        <v>46039</v>
      </c>
      <c r="C10" t="s">
        <v>35</v>
      </c>
      <c r="D10" t="s">
        <v>29</v>
      </c>
      <c r="E10" t="s">
        <v>15</v>
      </c>
      <c r="F10" t="s">
        <v>43</v>
      </c>
      <c r="G10">
        <v>3</v>
      </c>
      <c r="H10" s="3">
        <v>401.89</v>
      </c>
      <c r="I10" s="4">
        <v>1205.67</v>
      </c>
      <c r="J10" s="4">
        <v>793.71</v>
      </c>
      <c r="K10" s="4">
        <v>411.96</v>
      </c>
      <c r="L10" t="s">
        <v>44</v>
      </c>
    </row>
    <row r="11" spans="1:14">
      <c r="A11">
        <v>10</v>
      </c>
      <c r="B11" s="1">
        <v>46058</v>
      </c>
      <c r="C11" t="s">
        <v>35</v>
      </c>
      <c r="D11" t="s">
        <v>29</v>
      </c>
      <c r="E11" t="s">
        <v>46</v>
      </c>
      <c r="F11" t="s">
        <v>47</v>
      </c>
      <c r="G11">
        <v>4</v>
      </c>
      <c r="H11" s="3">
        <v>35.96</v>
      </c>
      <c r="I11" s="4">
        <v>143.84</v>
      </c>
      <c r="J11" s="4">
        <v>84.66</v>
      </c>
      <c r="K11" s="4">
        <v>59.18</v>
      </c>
      <c r="L11" t="s">
        <v>17</v>
      </c>
    </row>
    <row r="12" spans="1:14">
      <c r="A12">
        <v>11</v>
      </c>
      <c r="B12" s="1">
        <v>46046</v>
      </c>
      <c r="C12" t="s">
        <v>49</v>
      </c>
      <c r="D12" t="s">
        <v>14</v>
      </c>
      <c r="E12" t="s">
        <v>46</v>
      </c>
      <c r="F12" t="s">
        <v>50</v>
      </c>
      <c r="G12">
        <v>2</v>
      </c>
      <c r="H12" s="3">
        <v>37.549999999999997</v>
      </c>
      <c r="I12" s="4">
        <v>75.099999999999994</v>
      </c>
      <c r="J12" s="4">
        <v>51.64</v>
      </c>
      <c r="K12" s="4">
        <v>23.46</v>
      </c>
      <c r="L12" t="s">
        <v>44</v>
      </c>
    </row>
    <row r="13" spans="1:14">
      <c r="A13">
        <v>12</v>
      </c>
      <c r="B13" s="1">
        <v>46142</v>
      </c>
      <c r="C13" t="s">
        <v>19</v>
      </c>
      <c r="D13" t="s">
        <v>29</v>
      </c>
      <c r="E13" t="s">
        <v>24</v>
      </c>
      <c r="F13" t="s">
        <v>25</v>
      </c>
      <c r="G13">
        <v>4</v>
      </c>
      <c r="H13" s="3">
        <v>278.92</v>
      </c>
      <c r="I13" s="4">
        <v>1115.68</v>
      </c>
      <c r="J13" s="4">
        <v>728.58</v>
      </c>
      <c r="K13" s="4">
        <v>387.1</v>
      </c>
      <c r="L13" t="s">
        <v>39</v>
      </c>
    </row>
    <row r="14" spans="1:14">
      <c r="A14">
        <v>13</v>
      </c>
      <c r="B14" s="1">
        <v>46134</v>
      </c>
      <c r="C14" t="s">
        <v>53</v>
      </c>
      <c r="D14" t="s">
        <v>23</v>
      </c>
      <c r="E14" t="s">
        <v>15</v>
      </c>
      <c r="F14" t="s">
        <v>54</v>
      </c>
      <c r="G14">
        <v>3</v>
      </c>
      <c r="H14" s="3">
        <v>595.87</v>
      </c>
      <c r="I14" s="4">
        <v>1787.61</v>
      </c>
      <c r="J14" s="4">
        <v>1037.03</v>
      </c>
      <c r="K14" s="4">
        <v>750.58</v>
      </c>
      <c r="L14" t="s">
        <v>39</v>
      </c>
    </row>
    <row r="15" spans="1:14">
      <c r="A15">
        <v>14</v>
      </c>
      <c r="B15" s="1">
        <v>46099</v>
      </c>
      <c r="C15" t="s">
        <v>13</v>
      </c>
      <c r="D15" t="s">
        <v>20</v>
      </c>
      <c r="E15" t="s">
        <v>30</v>
      </c>
      <c r="F15" t="s">
        <v>31</v>
      </c>
      <c r="G15">
        <v>1</v>
      </c>
      <c r="H15" s="3">
        <v>70.77</v>
      </c>
      <c r="I15" s="4">
        <v>70.77</v>
      </c>
      <c r="J15" s="4">
        <v>55.56</v>
      </c>
      <c r="K15" s="4">
        <v>15.21</v>
      </c>
      <c r="L15" t="s">
        <v>44</v>
      </c>
    </row>
    <row r="16" spans="1:14">
      <c r="A16">
        <v>15</v>
      </c>
      <c r="B16" s="1">
        <v>46176</v>
      </c>
      <c r="C16" t="s">
        <v>57</v>
      </c>
      <c r="D16" t="s">
        <v>23</v>
      </c>
      <c r="E16" t="s">
        <v>30</v>
      </c>
      <c r="F16" t="s">
        <v>31</v>
      </c>
      <c r="G16">
        <v>5</v>
      </c>
      <c r="H16" s="3">
        <v>73.94</v>
      </c>
      <c r="I16" s="4">
        <v>369.7</v>
      </c>
      <c r="J16" s="4">
        <v>295.02</v>
      </c>
      <c r="K16" s="4">
        <v>74.680000000000007</v>
      </c>
      <c r="L16" t="s">
        <v>39</v>
      </c>
    </row>
    <row r="17" spans="1:12">
      <c r="A17">
        <v>16</v>
      </c>
      <c r="B17" s="1">
        <v>46084</v>
      </c>
      <c r="C17" t="s">
        <v>59</v>
      </c>
      <c r="D17" t="s">
        <v>14</v>
      </c>
      <c r="E17" t="s">
        <v>15</v>
      </c>
      <c r="F17" t="s">
        <v>54</v>
      </c>
      <c r="G17">
        <v>3</v>
      </c>
      <c r="H17" s="3">
        <v>645.41999999999996</v>
      </c>
      <c r="I17" s="4">
        <v>1936.26</v>
      </c>
      <c r="J17" s="4">
        <v>1190.1300000000001</v>
      </c>
      <c r="K17" s="4">
        <v>746.13</v>
      </c>
      <c r="L17" t="s">
        <v>39</v>
      </c>
    </row>
    <row r="18" spans="1:12">
      <c r="A18">
        <v>17</v>
      </c>
      <c r="B18" s="1">
        <v>46055</v>
      </c>
      <c r="C18" t="s">
        <v>13</v>
      </c>
      <c r="D18" t="s">
        <v>23</v>
      </c>
      <c r="E18" t="s">
        <v>46</v>
      </c>
      <c r="F18" t="s">
        <v>61</v>
      </c>
      <c r="G18">
        <v>5</v>
      </c>
      <c r="H18" s="3">
        <v>215.82</v>
      </c>
      <c r="I18" s="4">
        <v>1079.0999999999999</v>
      </c>
      <c r="J18" s="4">
        <v>816.64</v>
      </c>
      <c r="K18" s="4">
        <v>262.45999999999998</v>
      </c>
      <c r="L18" t="s">
        <v>44</v>
      </c>
    </row>
    <row r="19" spans="1:12">
      <c r="A19">
        <v>18</v>
      </c>
      <c r="B19" s="1">
        <v>46199</v>
      </c>
      <c r="C19" t="s">
        <v>35</v>
      </c>
      <c r="D19" t="s">
        <v>29</v>
      </c>
      <c r="E19" t="s">
        <v>30</v>
      </c>
      <c r="F19" t="s">
        <v>38</v>
      </c>
      <c r="G19">
        <v>5</v>
      </c>
      <c r="H19" s="3">
        <v>145.72</v>
      </c>
      <c r="I19" s="4">
        <v>728.6</v>
      </c>
      <c r="J19" s="4">
        <v>549.30999999999995</v>
      </c>
      <c r="K19" s="4">
        <v>179.29</v>
      </c>
      <c r="L19" t="s">
        <v>17</v>
      </c>
    </row>
    <row r="20" spans="1:12">
      <c r="A20">
        <v>19</v>
      </c>
      <c r="B20" s="1">
        <v>46080</v>
      </c>
      <c r="C20" t="s">
        <v>28</v>
      </c>
      <c r="D20" t="s">
        <v>29</v>
      </c>
      <c r="E20" t="s">
        <v>30</v>
      </c>
      <c r="F20" t="s">
        <v>38</v>
      </c>
      <c r="G20">
        <v>4</v>
      </c>
      <c r="H20" s="3">
        <v>137.94999999999999</v>
      </c>
      <c r="I20" s="4">
        <v>551.79999999999995</v>
      </c>
      <c r="J20" s="4">
        <v>321.52</v>
      </c>
      <c r="K20" s="4">
        <v>230.28</v>
      </c>
      <c r="L20" t="s">
        <v>39</v>
      </c>
    </row>
    <row r="21" spans="1:12">
      <c r="A21">
        <v>20</v>
      </c>
      <c r="B21" s="1">
        <v>46031</v>
      </c>
      <c r="C21" t="s">
        <v>57</v>
      </c>
      <c r="D21" t="s">
        <v>14</v>
      </c>
      <c r="E21" t="s">
        <v>24</v>
      </c>
      <c r="F21" t="s">
        <v>41</v>
      </c>
      <c r="G21">
        <v>1</v>
      </c>
      <c r="H21" s="3">
        <v>81.44</v>
      </c>
      <c r="I21" s="4">
        <v>81.44</v>
      </c>
      <c r="J21" s="4">
        <v>49.83</v>
      </c>
      <c r="K21" s="4">
        <v>31.61</v>
      </c>
      <c r="L21" t="s">
        <v>44</v>
      </c>
    </row>
    <row r="22" spans="1:12">
      <c r="A22">
        <v>21</v>
      </c>
      <c r="B22" s="1">
        <v>46169</v>
      </c>
      <c r="C22" t="s">
        <v>59</v>
      </c>
      <c r="D22" t="s">
        <v>23</v>
      </c>
      <c r="E22" t="s">
        <v>30</v>
      </c>
      <c r="F22" t="s">
        <v>38</v>
      </c>
      <c r="G22">
        <v>2</v>
      </c>
      <c r="H22" s="3">
        <v>55.71</v>
      </c>
      <c r="I22" s="4">
        <v>111.42</v>
      </c>
      <c r="J22" s="4">
        <v>83.04</v>
      </c>
      <c r="K22" s="4">
        <v>28.38</v>
      </c>
      <c r="L22" t="s">
        <v>44</v>
      </c>
    </row>
    <row r="23" spans="1:12">
      <c r="A23">
        <v>22</v>
      </c>
      <c r="B23" s="1">
        <v>46113</v>
      </c>
      <c r="C23" t="s">
        <v>67</v>
      </c>
      <c r="D23" t="s">
        <v>23</v>
      </c>
      <c r="E23" t="s">
        <v>46</v>
      </c>
      <c r="F23" t="s">
        <v>47</v>
      </c>
      <c r="G23">
        <v>1</v>
      </c>
      <c r="H23" s="3">
        <v>11.66</v>
      </c>
      <c r="I23" s="4">
        <v>11.66</v>
      </c>
      <c r="J23" s="4">
        <v>8.49</v>
      </c>
      <c r="K23" s="4">
        <v>3.17</v>
      </c>
      <c r="L23" t="s">
        <v>17</v>
      </c>
    </row>
    <row r="24" spans="1:12">
      <c r="A24">
        <v>23</v>
      </c>
      <c r="B24" s="1">
        <v>46050</v>
      </c>
      <c r="C24" t="s">
        <v>35</v>
      </c>
      <c r="D24" t="s">
        <v>20</v>
      </c>
      <c r="E24" t="s">
        <v>15</v>
      </c>
      <c r="F24" t="s">
        <v>16</v>
      </c>
      <c r="G24">
        <v>3</v>
      </c>
      <c r="H24" s="3">
        <v>742.43</v>
      </c>
      <c r="I24" s="4">
        <v>2227.29</v>
      </c>
      <c r="J24" s="4">
        <v>1706.46</v>
      </c>
      <c r="K24" s="4">
        <v>520.83000000000004</v>
      </c>
      <c r="L24" t="s">
        <v>44</v>
      </c>
    </row>
    <row r="25" spans="1:12">
      <c r="A25">
        <v>24</v>
      </c>
      <c r="B25" s="1">
        <v>46042</v>
      </c>
      <c r="C25" t="s">
        <v>70</v>
      </c>
      <c r="D25" t="s">
        <v>14</v>
      </c>
      <c r="E25" t="s">
        <v>46</v>
      </c>
      <c r="F25" t="s">
        <v>71</v>
      </c>
      <c r="G25">
        <v>3</v>
      </c>
      <c r="H25" s="3">
        <v>65.08</v>
      </c>
      <c r="I25" s="4">
        <v>195.24</v>
      </c>
      <c r="J25" s="4">
        <v>131.77000000000001</v>
      </c>
      <c r="K25" s="4">
        <v>63.47</v>
      </c>
      <c r="L25" t="s">
        <v>39</v>
      </c>
    </row>
    <row r="26" spans="1:12">
      <c r="A26">
        <v>25</v>
      </c>
      <c r="B26" s="1">
        <v>46147</v>
      </c>
      <c r="C26" t="s">
        <v>70</v>
      </c>
      <c r="D26" t="s">
        <v>20</v>
      </c>
      <c r="E26" t="s">
        <v>15</v>
      </c>
      <c r="F26" t="s">
        <v>16</v>
      </c>
      <c r="G26">
        <v>2</v>
      </c>
      <c r="H26" s="3">
        <v>1348.46</v>
      </c>
      <c r="I26" s="4">
        <v>2696.92</v>
      </c>
      <c r="J26" s="4">
        <v>1604.41</v>
      </c>
      <c r="K26" s="4">
        <v>1092.51</v>
      </c>
      <c r="L26" t="s">
        <v>17</v>
      </c>
    </row>
    <row r="27" spans="1:12">
      <c r="A27">
        <v>26</v>
      </c>
      <c r="B27" s="1">
        <v>46139</v>
      </c>
      <c r="C27" t="s">
        <v>74</v>
      </c>
      <c r="D27" t="s">
        <v>23</v>
      </c>
      <c r="E27" t="s">
        <v>15</v>
      </c>
      <c r="F27" t="s">
        <v>43</v>
      </c>
      <c r="G27">
        <v>4</v>
      </c>
      <c r="H27" s="3">
        <v>282.32</v>
      </c>
      <c r="I27" s="4">
        <v>1129.28</v>
      </c>
      <c r="J27" s="4">
        <v>701.97</v>
      </c>
      <c r="K27" s="4">
        <v>427.31</v>
      </c>
      <c r="L27" t="s">
        <v>17</v>
      </c>
    </row>
    <row r="28" spans="1:12">
      <c r="A28">
        <v>27</v>
      </c>
      <c r="B28" s="1">
        <v>46161</v>
      </c>
      <c r="C28" t="s">
        <v>49</v>
      </c>
      <c r="D28" t="s">
        <v>29</v>
      </c>
      <c r="E28" t="s">
        <v>24</v>
      </c>
      <c r="F28" t="s">
        <v>41</v>
      </c>
      <c r="G28">
        <v>1</v>
      </c>
      <c r="H28" s="3">
        <v>139.34</v>
      </c>
      <c r="I28" s="4">
        <v>139.34</v>
      </c>
      <c r="J28" s="4">
        <v>98.43</v>
      </c>
      <c r="K28" s="4">
        <v>40.909999999999997</v>
      </c>
      <c r="L28" t="s">
        <v>39</v>
      </c>
    </row>
    <row r="29" spans="1:12">
      <c r="A29">
        <v>28</v>
      </c>
      <c r="B29" s="1">
        <v>46153</v>
      </c>
      <c r="C29" t="s">
        <v>28</v>
      </c>
      <c r="D29" t="s">
        <v>20</v>
      </c>
      <c r="E29" t="s">
        <v>15</v>
      </c>
      <c r="F29" t="s">
        <v>77</v>
      </c>
      <c r="G29">
        <v>5</v>
      </c>
      <c r="H29" s="3">
        <v>652</v>
      </c>
      <c r="I29" s="4">
        <v>3260</v>
      </c>
      <c r="J29" s="4">
        <v>1931.57</v>
      </c>
      <c r="K29" s="4">
        <v>1328.43</v>
      </c>
      <c r="L29" t="s">
        <v>39</v>
      </c>
    </row>
    <row r="30" spans="1:12">
      <c r="A30">
        <v>29</v>
      </c>
      <c r="B30" s="1">
        <v>46175</v>
      </c>
      <c r="C30" t="s">
        <v>49</v>
      </c>
      <c r="D30" t="s">
        <v>14</v>
      </c>
      <c r="E30" t="s">
        <v>15</v>
      </c>
      <c r="F30" t="s">
        <v>43</v>
      </c>
      <c r="G30">
        <v>5</v>
      </c>
      <c r="H30" s="3">
        <v>289.02</v>
      </c>
      <c r="I30" s="4">
        <v>1445.1</v>
      </c>
      <c r="J30" s="4">
        <v>890.87</v>
      </c>
      <c r="K30" s="4">
        <v>554.23</v>
      </c>
      <c r="L30" t="s">
        <v>17</v>
      </c>
    </row>
    <row r="31" spans="1:12">
      <c r="A31">
        <v>30</v>
      </c>
      <c r="B31" s="1">
        <v>46124</v>
      </c>
      <c r="C31" t="s">
        <v>53</v>
      </c>
      <c r="D31" t="s">
        <v>29</v>
      </c>
      <c r="E31" t="s">
        <v>30</v>
      </c>
      <c r="F31" t="s">
        <v>80</v>
      </c>
      <c r="G31">
        <v>3</v>
      </c>
      <c r="H31" s="3">
        <v>24.3</v>
      </c>
      <c r="I31" s="4">
        <v>72.900000000000006</v>
      </c>
      <c r="J31" s="4">
        <v>44.79</v>
      </c>
      <c r="K31" s="4">
        <v>28.11</v>
      </c>
      <c r="L31" t="s">
        <v>17</v>
      </c>
    </row>
    <row r="32" spans="1:12">
      <c r="A32">
        <v>31</v>
      </c>
      <c r="B32" s="1">
        <v>46048</v>
      </c>
      <c r="C32" t="s">
        <v>28</v>
      </c>
      <c r="D32" t="s">
        <v>20</v>
      </c>
      <c r="E32" t="s">
        <v>30</v>
      </c>
      <c r="F32" t="s">
        <v>33</v>
      </c>
      <c r="G32">
        <v>5</v>
      </c>
      <c r="H32" s="3">
        <v>103.26</v>
      </c>
      <c r="I32" s="4">
        <v>516.29999999999995</v>
      </c>
      <c r="J32" s="4">
        <v>423.15</v>
      </c>
      <c r="K32" s="4">
        <v>93.15</v>
      </c>
      <c r="L32" t="s">
        <v>26</v>
      </c>
    </row>
    <row r="33" spans="1:12">
      <c r="A33">
        <v>32</v>
      </c>
      <c r="B33" s="1">
        <v>46063</v>
      </c>
      <c r="C33" t="s">
        <v>70</v>
      </c>
      <c r="D33" t="s">
        <v>29</v>
      </c>
      <c r="E33" t="s">
        <v>24</v>
      </c>
      <c r="F33" t="s">
        <v>83</v>
      </c>
      <c r="G33">
        <v>2</v>
      </c>
      <c r="H33" s="3">
        <v>199.75</v>
      </c>
      <c r="I33" s="4">
        <v>399.5</v>
      </c>
      <c r="J33" s="4">
        <v>259.58</v>
      </c>
      <c r="K33" s="4">
        <v>139.91999999999999</v>
      </c>
      <c r="L33" t="s">
        <v>39</v>
      </c>
    </row>
    <row r="34" spans="1:12">
      <c r="A34">
        <v>33</v>
      </c>
      <c r="B34" s="1">
        <v>46050</v>
      </c>
      <c r="C34" t="s">
        <v>22</v>
      </c>
      <c r="D34" t="s">
        <v>20</v>
      </c>
      <c r="E34" t="s">
        <v>30</v>
      </c>
      <c r="F34" t="s">
        <v>33</v>
      </c>
      <c r="G34">
        <v>2</v>
      </c>
      <c r="H34" s="3">
        <v>428.63</v>
      </c>
      <c r="I34" s="4">
        <v>857.26</v>
      </c>
      <c r="J34" s="4">
        <v>532.71</v>
      </c>
      <c r="K34" s="4">
        <v>324.55</v>
      </c>
      <c r="L34" t="s">
        <v>26</v>
      </c>
    </row>
    <row r="35" spans="1:12">
      <c r="A35">
        <v>34</v>
      </c>
      <c r="B35" s="1">
        <v>46090</v>
      </c>
      <c r="C35" t="s">
        <v>19</v>
      </c>
      <c r="D35" t="s">
        <v>23</v>
      </c>
      <c r="E35" t="s">
        <v>30</v>
      </c>
      <c r="F35" t="s">
        <v>31</v>
      </c>
      <c r="G35">
        <v>2</v>
      </c>
      <c r="H35" s="3">
        <v>91.76</v>
      </c>
      <c r="I35" s="4">
        <v>183.52</v>
      </c>
      <c r="J35" s="4">
        <v>135</v>
      </c>
      <c r="K35" s="4">
        <v>48.52</v>
      </c>
      <c r="L35" t="s">
        <v>26</v>
      </c>
    </row>
    <row r="36" spans="1:12">
      <c r="A36">
        <v>35</v>
      </c>
      <c r="B36" s="1">
        <v>46108</v>
      </c>
      <c r="C36" t="s">
        <v>53</v>
      </c>
      <c r="D36" t="s">
        <v>29</v>
      </c>
      <c r="E36" t="s">
        <v>15</v>
      </c>
      <c r="F36" t="s">
        <v>16</v>
      </c>
      <c r="G36">
        <v>3</v>
      </c>
      <c r="H36" s="3">
        <v>1144</v>
      </c>
      <c r="I36" s="4">
        <v>3432</v>
      </c>
      <c r="J36" s="4">
        <v>1928.45</v>
      </c>
      <c r="K36" s="4">
        <v>1503.55</v>
      </c>
      <c r="L36" t="s">
        <v>44</v>
      </c>
    </row>
    <row r="37" spans="1:12">
      <c r="A37">
        <v>36</v>
      </c>
      <c r="B37" s="1">
        <v>46199</v>
      </c>
      <c r="C37" t="s">
        <v>53</v>
      </c>
      <c r="D37" t="s">
        <v>14</v>
      </c>
      <c r="E37" t="s">
        <v>46</v>
      </c>
      <c r="F37" t="s">
        <v>47</v>
      </c>
      <c r="G37">
        <v>1</v>
      </c>
      <c r="H37" s="3">
        <v>24.63</v>
      </c>
      <c r="I37" s="4">
        <v>24.63</v>
      </c>
      <c r="J37" s="4">
        <v>14.05</v>
      </c>
      <c r="K37" s="4">
        <v>10.58</v>
      </c>
      <c r="L37" t="s">
        <v>26</v>
      </c>
    </row>
    <row r="38" spans="1:12">
      <c r="A38">
        <v>37</v>
      </c>
      <c r="B38" s="1">
        <v>46033</v>
      </c>
      <c r="C38" t="s">
        <v>57</v>
      </c>
      <c r="D38" t="s">
        <v>20</v>
      </c>
      <c r="E38" t="s">
        <v>24</v>
      </c>
      <c r="F38" t="s">
        <v>25</v>
      </c>
      <c r="G38">
        <v>3</v>
      </c>
      <c r="H38" s="3">
        <v>138.22999999999999</v>
      </c>
      <c r="I38" s="4">
        <v>414.69</v>
      </c>
      <c r="J38" s="4">
        <v>268.91000000000003</v>
      </c>
      <c r="K38" s="4">
        <v>145.78</v>
      </c>
      <c r="L38" t="s">
        <v>44</v>
      </c>
    </row>
    <row r="39" spans="1:12">
      <c r="A39">
        <v>38</v>
      </c>
      <c r="B39" s="1">
        <v>46062</v>
      </c>
      <c r="C39" t="s">
        <v>35</v>
      </c>
      <c r="D39" t="s">
        <v>20</v>
      </c>
      <c r="E39" t="s">
        <v>15</v>
      </c>
      <c r="F39" t="s">
        <v>54</v>
      </c>
      <c r="G39">
        <v>4</v>
      </c>
      <c r="H39" s="3">
        <v>601.04999999999995</v>
      </c>
      <c r="I39" s="4">
        <v>2404.1999999999998</v>
      </c>
      <c r="J39" s="4">
        <v>1954.46</v>
      </c>
      <c r="K39" s="4">
        <v>449.74</v>
      </c>
      <c r="L39" t="s">
        <v>44</v>
      </c>
    </row>
    <row r="40" spans="1:12">
      <c r="A40">
        <v>39</v>
      </c>
      <c r="B40" s="1">
        <v>46128</v>
      </c>
      <c r="C40" t="s">
        <v>13</v>
      </c>
      <c r="D40" t="s">
        <v>20</v>
      </c>
      <c r="E40" t="s">
        <v>46</v>
      </c>
      <c r="F40" t="s">
        <v>61</v>
      </c>
      <c r="G40">
        <v>3</v>
      </c>
      <c r="H40" s="3">
        <v>64.08</v>
      </c>
      <c r="I40" s="4">
        <v>192.24</v>
      </c>
      <c r="J40" s="4">
        <v>146.34</v>
      </c>
      <c r="K40" s="4">
        <v>45.9</v>
      </c>
      <c r="L40" t="s">
        <v>26</v>
      </c>
    </row>
    <row r="41" spans="1:12">
      <c r="A41">
        <v>40</v>
      </c>
      <c r="B41" s="1">
        <v>46079</v>
      </c>
      <c r="C41" t="s">
        <v>35</v>
      </c>
      <c r="D41" t="s">
        <v>23</v>
      </c>
      <c r="E41" t="s">
        <v>24</v>
      </c>
      <c r="F41" t="s">
        <v>36</v>
      </c>
      <c r="G41">
        <v>1</v>
      </c>
      <c r="H41" s="3">
        <v>207.98</v>
      </c>
      <c r="I41" s="4">
        <v>207.98</v>
      </c>
      <c r="J41" s="4">
        <v>162.6</v>
      </c>
      <c r="K41" s="4">
        <v>45.38</v>
      </c>
      <c r="L41" t="s">
        <v>26</v>
      </c>
    </row>
    <row r="42" spans="1:12">
      <c r="A42">
        <v>41</v>
      </c>
      <c r="B42" s="1">
        <v>46094</v>
      </c>
      <c r="C42" t="s">
        <v>28</v>
      </c>
      <c r="D42" t="s">
        <v>29</v>
      </c>
      <c r="E42" t="s">
        <v>30</v>
      </c>
      <c r="F42" t="s">
        <v>31</v>
      </c>
      <c r="G42">
        <v>2</v>
      </c>
      <c r="H42" s="3">
        <v>42.29</v>
      </c>
      <c r="I42" s="4">
        <v>84.58</v>
      </c>
      <c r="J42" s="4">
        <v>55.62</v>
      </c>
      <c r="K42" s="4">
        <v>28.96</v>
      </c>
      <c r="L42" t="s">
        <v>26</v>
      </c>
    </row>
    <row r="43" spans="1:12">
      <c r="A43">
        <v>42</v>
      </c>
      <c r="B43" s="1">
        <v>46089</v>
      </c>
      <c r="C43" t="s">
        <v>53</v>
      </c>
      <c r="D43" t="s">
        <v>29</v>
      </c>
      <c r="E43" t="s">
        <v>46</v>
      </c>
      <c r="F43" t="s">
        <v>50</v>
      </c>
      <c r="G43">
        <v>1</v>
      </c>
      <c r="H43" s="3">
        <v>95.14</v>
      </c>
      <c r="I43" s="4">
        <v>95.14</v>
      </c>
      <c r="J43" s="4">
        <v>74.86</v>
      </c>
      <c r="K43" s="4">
        <v>20.28</v>
      </c>
      <c r="L43" t="s">
        <v>39</v>
      </c>
    </row>
    <row r="44" spans="1:12">
      <c r="A44">
        <v>43</v>
      </c>
      <c r="B44" s="1">
        <v>46153</v>
      </c>
      <c r="C44" t="s">
        <v>28</v>
      </c>
      <c r="D44" t="s">
        <v>23</v>
      </c>
      <c r="E44" t="s">
        <v>15</v>
      </c>
      <c r="F44" t="s">
        <v>77</v>
      </c>
      <c r="G44">
        <v>3</v>
      </c>
      <c r="H44" s="3">
        <v>541.98</v>
      </c>
      <c r="I44" s="4">
        <v>1625.94</v>
      </c>
      <c r="J44" s="4">
        <v>1085.8499999999999</v>
      </c>
      <c r="K44" s="4">
        <v>540.09</v>
      </c>
      <c r="L44" t="s">
        <v>44</v>
      </c>
    </row>
    <row r="45" spans="1:12">
      <c r="A45">
        <v>44</v>
      </c>
      <c r="B45" s="1">
        <v>46160</v>
      </c>
      <c r="C45" t="s">
        <v>13</v>
      </c>
      <c r="D45" t="s">
        <v>20</v>
      </c>
      <c r="E45" t="s">
        <v>30</v>
      </c>
      <c r="F45" t="s">
        <v>33</v>
      </c>
      <c r="G45">
        <v>1</v>
      </c>
      <c r="H45" s="3">
        <v>348.07</v>
      </c>
      <c r="I45" s="4">
        <v>348.07</v>
      </c>
      <c r="J45" s="4">
        <v>240.3</v>
      </c>
      <c r="K45" s="4">
        <v>107.77</v>
      </c>
      <c r="L45" t="s">
        <v>26</v>
      </c>
    </row>
    <row r="46" spans="1:12">
      <c r="A46">
        <v>45</v>
      </c>
      <c r="B46" s="1">
        <v>46192</v>
      </c>
      <c r="C46" t="s">
        <v>28</v>
      </c>
      <c r="D46" t="s">
        <v>29</v>
      </c>
      <c r="E46" t="s">
        <v>46</v>
      </c>
      <c r="F46" t="s">
        <v>61</v>
      </c>
      <c r="G46">
        <v>3</v>
      </c>
      <c r="H46" s="3">
        <v>210.29</v>
      </c>
      <c r="I46" s="4">
        <v>630.87</v>
      </c>
      <c r="J46" s="4">
        <v>453.12</v>
      </c>
      <c r="K46" s="4">
        <v>177.75</v>
      </c>
      <c r="L46" t="s">
        <v>26</v>
      </c>
    </row>
    <row r="47" spans="1:12">
      <c r="A47">
        <v>46</v>
      </c>
      <c r="B47" s="1">
        <v>46072</v>
      </c>
      <c r="C47" t="s">
        <v>67</v>
      </c>
      <c r="D47" t="s">
        <v>23</v>
      </c>
      <c r="E47" t="s">
        <v>46</v>
      </c>
      <c r="F47" t="s">
        <v>50</v>
      </c>
      <c r="G47">
        <v>3</v>
      </c>
      <c r="H47" s="3">
        <v>52.19</v>
      </c>
      <c r="I47" s="4">
        <v>156.57</v>
      </c>
      <c r="J47" s="4">
        <v>109.55</v>
      </c>
      <c r="K47" s="4">
        <v>47.02</v>
      </c>
      <c r="L47" t="s">
        <v>44</v>
      </c>
    </row>
    <row r="48" spans="1:12">
      <c r="A48">
        <v>47</v>
      </c>
      <c r="B48" s="1">
        <v>46076</v>
      </c>
      <c r="C48" t="s">
        <v>67</v>
      </c>
      <c r="D48" t="s">
        <v>29</v>
      </c>
      <c r="E48" t="s">
        <v>30</v>
      </c>
      <c r="F48" t="s">
        <v>38</v>
      </c>
      <c r="G48">
        <v>1</v>
      </c>
      <c r="H48" s="3">
        <v>95.75</v>
      </c>
      <c r="I48" s="4">
        <v>95.75</v>
      </c>
      <c r="J48" s="4">
        <v>60.52</v>
      </c>
      <c r="K48" s="4">
        <v>35.229999999999997</v>
      </c>
      <c r="L48" t="s">
        <v>17</v>
      </c>
    </row>
    <row r="49" spans="1:12">
      <c r="A49">
        <v>48</v>
      </c>
      <c r="B49" s="1">
        <v>46066</v>
      </c>
      <c r="C49" t="s">
        <v>13</v>
      </c>
      <c r="D49" t="s">
        <v>14</v>
      </c>
      <c r="E49" t="s">
        <v>46</v>
      </c>
      <c r="F49" t="s">
        <v>47</v>
      </c>
      <c r="G49">
        <v>5</v>
      </c>
      <c r="H49" s="3">
        <v>28.65</v>
      </c>
      <c r="I49" s="4">
        <v>143.25</v>
      </c>
      <c r="J49" s="4">
        <v>97.09</v>
      </c>
      <c r="K49" s="4">
        <v>46.16</v>
      </c>
      <c r="L49" t="s">
        <v>26</v>
      </c>
    </row>
    <row r="50" spans="1:12">
      <c r="A50">
        <v>49</v>
      </c>
      <c r="B50" s="1">
        <v>46080</v>
      </c>
      <c r="C50" t="s">
        <v>35</v>
      </c>
      <c r="D50" t="s">
        <v>20</v>
      </c>
      <c r="E50" t="s">
        <v>30</v>
      </c>
      <c r="F50" t="s">
        <v>33</v>
      </c>
      <c r="G50">
        <v>2</v>
      </c>
      <c r="H50" s="3">
        <v>386.45</v>
      </c>
      <c r="I50" s="4">
        <v>772.9</v>
      </c>
      <c r="J50" s="4">
        <v>565.5</v>
      </c>
      <c r="K50" s="4">
        <v>207.4</v>
      </c>
      <c r="L50" t="s">
        <v>39</v>
      </c>
    </row>
    <row r="51" spans="1:12">
      <c r="A51">
        <v>50</v>
      </c>
      <c r="B51" s="1">
        <v>46041</v>
      </c>
      <c r="C51" t="s">
        <v>70</v>
      </c>
      <c r="D51" t="s">
        <v>23</v>
      </c>
      <c r="E51" t="s">
        <v>15</v>
      </c>
      <c r="F51" t="s">
        <v>43</v>
      </c>
      <c r="G51">
        <v>5</v>
      </c>
      <c r="H51" s="3">
        <v>445.66</v>
      </c>
      <c r="I51" s="4">
        <v>2228.3000000000002</v>
      </c>
      <c r="J51" s="4">
        <v>1736.8</v>
      </c>
      <c r="K51" s="4">
        <v>491.5</v>
      </c>
      <c r="L51" t="s">
        <v>44</v>
      </c>
    </row>
    <row r="52" spans="1:12">
      <c r="A52">
        <v>51</v>
      </c>
      <c r="B52" s="1">
        <v>46024</v>
      </c>
      <c r="C52" t="s">
        <v>28</v>
      </c>
      <c r="D52" t="s">
        <v>23</v>
      </c>
      <c r="E52" t="s">
        <v>46</v>
      </c>
      <c r="F52" t="s">
        <v>47</v>
      </c>
      <c r="G52">
        <v>2</v>
      </c>
      <c r="H52" s="3">
        <v>18.989999999999998</v>
      </c>
      <c r="I52" s="4">
        <v>37.979999999999997</v>
      </c>
      <c r="J52" s="4">
        <v>27.62</v>
      </c>
      <c r="K52" s="4">
        <v>10.36</v>
      </c>
      <c r="L52" t="s">
        <v>44</v>
      </c>
    </row>
    <row r="53" spans="1:12">
      <c r="A53">
        <v>52</v>
      </c>
      <c r="B53" s="1">
        <v>46054</v>
      </c>
      <c r="C53" t="s">
        <v>70</v>
      </c>
      <c r="D53" t="s">
        <v>20</v>
      </c>
      <c r="E53" t="s">
        <v>24</v>
      </c>
      <c r="F53" t="s">
        <v>25</v>
      </c>
      <c r="G53">
        <v>2</v>
      </c>
      <c r="H53" s="3">
        <v>115.07</v>
      </c>
      <c r="I53" s="4">
        <v>230.14</v>
      </c>
      <c r="J53" s="4">
        <v>183.59</v>
      </c>
      <c r="K53" s="4">
        <v>46.55</v>
      </c>
      <c r="L53" t="s">
        <v>17</v>
      </c>
    </row>
    <row r="54" spans="1:12">
      <c r="A54">
        <v>53</v>
      </c>
      <c r="B54" s="1">
        <v>46163</v>
      </c>
      <c r="C54" t="s">
        <v>70</v>
      </c>
      <c r="D54" t="s">
        <v>20</v>
      </c>
      <c r="E54" t="s">
        <v>30</v>
      </c>
      <c r="F54" t="s">
        <v>38</v>
      </c>
      <c r="G54">
        <v>5</v>
      </c>
      <c r="H54" s="3">
        <v>103.52</v>
      </c>
      <c r="I54" s="4">
        <v>517.6</v>
      </c>
      <c r="J54" s="4">
        <v>344.32</v>
      </c>
      <c r="K54" s="4">
        <v>173.28</v>
      </c>
      <c r="L54" t="s">
        <v>17</v>
      </c>
    </row>
    <row r="55" spans="1:12">
      <c r="A55">
        <v>54</v>
      </c>
      <c r="B55" s="1">
        <v>46156</v>
      </c>
      <c r="C55" t="s">
        <v>70</v>
      </c>
      <c r="D55" t="s">
        <v>20</v>
      </c>
      <c r="E55" t="s">
        <v>46</v>
      </c>
      <c r="F55" t="s">
        <v>50</v>
      </c>
      <c r="G55">
        <v>3</v>
      </c>
      <c r="H55" s="3">
        <v>80.14</v>
      </c>
      <c r="I55" s="4">
        <v>240.42</v>
      </c>
      <c r="J55" s="4">
        <v>181.94</v>
      </c>
      <c r="K55" s="4">
        <v>58.48</v>
      </c>
      <c r="L55" t="s">
        <v>26</v>
      </c>
    </row>
    <row r="56" spans="1:12">
      <c r="A56">
        <v>55</v>
      </c>
      <c r="B56" s="1">
        <v>46104</v>
      </c>
      <c r="C56" t="s">
        <v>19</v>
      </c>
      <c r="D56" t="s">
        <v>14</v>
      </c>
      <c r="E56" t="s">
        <v>46</v>
      </c>
      <c r="F56" t="s">
        <v>61</v>
      </c>
      <c r="G56">
        <v>2</v>
      </c>
      <c r="H56" s="3">
        <v>165.57</v>
      </c>
      <c r="I56" s="4">
        <v>331.14</v>
      </c>
      <c r="J56" s="4">
        <v>206.42</v>
      </c>
      <c r="K56" s="4">
        <v>124.72</v>
      </c>
      <c r="L56" t="s">
        <v>44</v>
      </c>
    </row>
    <row r="57" spans="1:12">
      <c r="A57">
        <v>56</v>
      </c>
      <c r="B57" s="1">
        <v>46039</v>
      </c>
      <c r="C57" t="s">
        <v>67</v>
      </c>
      <c r="D57" t="s">
        <v>23</v>
      </c>
      <c r="E57" t="s">
        <v>24</v>
      </c>
      <c r="F57" t="s">
        <v>41</v>
      </c>
      <c r="G57">
        <v>2</v>
      </c>
      <c r="H57" s="3">
        <v>156.61000000000001</v>
      </c>
      <c r="I57" s="4">
        <v>313.22000000000003</v>
      </c>
      <c r="J57" s="4">
        <v>232.01</v>
      </c>
      <c r="K57" s="4">
        <v>81.209999999999994</v>
      </c>
      <c r="L57" t="s">
        <v>26</v>
      </c>
    </row>
    <row r="58" spans="1:12">
      <c r="A58">
        <v>57</v>
      </c>
      <c r="B58" s="1">
        <v>46172</v>
      </c>
      <c r="C58" t="s">
        <v>22</v>
      </c>
      <c r="D58" t="s">
        <v>14</v>
      </c>
      <c r="E58" t="s">
        <v>46</v>
      </c>
      <c r="F58" t="s">
        <v>47</v>
      </c>
      <c r="G58">
        <v>4</v>
      </c>
      <c r="H58" s="3">
        <v>7.18</v>
      </c>
      <c r="I58" s="4">
        <v>28.72</v>
      </c>
      <c r="J58" s="4">
        <v>18.82</v>
      </c>
      <c r="K58" s="4">
        <v>9.9</v>
      </c>
      <c r="L58" t="s">
        <v>17</v>
      </c>
    </row>
    <row r="59" spans="1:12">
      <c r="A59">
        <v>58</v>
      </c>
      <c r="B59" s="1">
        <v>46130</v>
      </c>
      <c r="C59" t="s">
        <v>19</v>
      </c>
      <c r="D59" t="s">
        <v>20</v>
      </c>
      <c r="E59" t="s">
        <v>46</v>
      </c>
      <c r="F59" t="s">
        <v>61</v>
      </c>
      <c r="G59">
        <v>3</v>
      </c>
      <c r="H59" s="3">
        <v>209.12</v>
      </c>
      <c r="I59" s="4">
        <v>627.36</v>
      </c>
      <c r="J59" s="4">
        <v>472.68</v>
      </c>
      <c r="K59" s="4">
        <v>154.68</v>
      </c>
      <c r="L59" t="s">
        <v>17</v>
      </c>
    </row>
    <row r="60" spans="1:12">
      <c r="A60">
        <v>59</v>
      </c>
      <c r="B60" s="1">
        <v>46194</v>
      </c>
      <c r="C60" t="s">
        <v>13</v>
      </c>
      <c r="D60" t="s">
        <v>23</v>
      </c>
      <c r="E60" t="s">
        <v>24</v>
      </c>
      <c r="F60" t="s">
        <v>83</v>
      </c>
      <c r="G60">
        <v>1</v>
      </c>
      <c r="H60" s="3">
        <v>124.09</v>
      </c>
      <c r="I60" s="4">
        <v>124.09</v>
      </c>
      <c r="J60" s="4">
        <v>81.28</v>
      </c>
      <c r="K60" s="4">
        <v>42.81</v>
      </c>
      <c r="L60" t="s">
        <v>44</v>
      </c>
    </row>
    <row r="61" spans="1:12">
      <c r="A61">
        <v>60</v>
      </c>
      <c r="B61" s="1">
        <v>46123</v>
      </c>
      <c r="C61" t="s">
        <v>59</v>
      </c>
      <c r="D61" t="s">
        <v>14</v>
      </c>
      <c r="E61" t="s">
        <v>46</v>
      </c>
      <c r="F61" t="s">
        <v>71</v>
      </c>
      <c r="G61">
        <v>5</v>
      </c>
      <c r="H61" s="3">
        <v>118.17</v>
      </c>
      <c r="I61" s="4">
        <v>590.85</v>
      </c>
      <c r="J61" s="4">
        <v>329.27</v>
      </c>
      <c r="K61" s="4">
        <v>261.58</v>
      </c>
      <c r="L61" t="s">
        <v>39</v>
      </c>
    </row>
    <row r="62" spans="1:12">
      <c r="A62">
        <v>61</v>
      </c>
      <c r="B62" s="1">
        <v>46120</v>
      </c>
      <c r="C62" t="s">
        <v>57</v>
      </c>
      <c r="D62" t="s">
        <v>20</v>
      </c>
      <c r="E62" t="s">
        <v>46</v>
      </c>
      <c r="F62" t="s">
        <v>71</v>
      </c>
      <c r="G62">
        <v>2</v>
      </c>
      <c r="H62" s="3">
        <v>107.35</v>
      </c>
      <c r="I62" s="4">
        <v>214.7</v>
      </c>
      <c r="J62" s="4">
        <v>121</v>
      </c>
      <c r="K62" s="4">
        <v>93.7</v>
      </c>
      <c r="L62" t="s">
        <v>17</v>
      </c>
    </row>
    <row r="63" spans="1:12">
      <c r="A63">
        <v>62</v>
      </c>
      <c r="B63" s="1">
        <v>46130</v>
      </c>
      <c r="C63" t="s">
        <v>74</v>
      </c>
      <c r="D63" t="s">
        <v>14</v>
      </c>
      <c r="E63" t="s">
        <v>30</v>
      </c>
      <c r="F63" t="s">
        <v>80</v>
      </c>
      <c r="G63">
        <v>4</v>
      </c>
      <c r="H63" s="3">
        <v>63.29</v>
      </c>
      <c r="I63" s="4">
        <v>253.16</v>
      </c>
      <c r="J63" s="4">
        <v>158.26</v>
      </c>
      <c r="K63" s="4">
        <v>94.9</v>
      </c>
      <c r="L63" t="s">
        <v>17</v>
      </c>
    </row>
    <row r="64" spans="1:12">
      <c r="A64">
        <v>63</v>
      </c>
      <c r="B64" s="1">
        <v>46040</v>
      </c>
      <c r="C64" t="s">
        <v>13</v>
      </c>
      <c r="D64" t="s">
        <v>14</v>
      </c>
      <c r="E64" t="s">
        <v>15</v>
      </c>
      <c r="F64" t="s">
        <v>16</v>
      </c>
      <c r="G64">
        <v>3</v>
      </c>
      <c r="H64" s="3">
        <v>1399.94</v>
      </c>
      <c r="I64" s="4">
        <v>4199.82</v>
      </c>
      <c r="J64" s="4">
        <v>2564.16</v>
      </c>
      <c r="K64" s="4">
        <v>1635.66</v>
      </c>
      <c r="L64" t="s">
        <v>39</v>
      </c>
    </row>
    <row r="65" spans="1:12">
      <c r="A65">
        <v>64</v>
      </c>
      <c r="B65" s="1">
        <v>46055</v>
      </c>
      <c r="C65" t="s">
        <v>70</v>
      </c>
      <c r="D65" t="s">
        <v>14</v>
      </c>
      <c r="E65" t="s">
        <v>24</v>
      </c>
      <c r="F65" t="s">
        <v>41</v>
      </c>
      <c r="G65">
        <v>5</v>
      </c>
      <c r="H65" s="3">
        <v>247.85</v>
      </c>
      <c r="I65" s="4">
        <v>1239.25</v>
      </c>
      <c r="J65" s="4">
        <v>732.57</v>
      </c>
      <c r="K65" s="4">
        <v>506.68</v>
      </c>
      <c r="L65" t="s">
        <v>44</v>
      </c>
    </row>
    <row r="66" spans="1:12">
      <c r="A66">
        <v>65</v>
      </c>
      <c r="B66" s="1">
        <v>46052</v>
      </c>
      <c r="C66" t="s">
        <v>53</v>
      </c>
      <c r="D66" t="s">
        <v>29</v>
      </c>
      <c r="E66" t="s">
        <v>46</v>
      </c>
      <c r="F66" t="s">
        <v>50</v>
      </c>
      <c r="G66">
        <v>2</v>
      </c>
      <c r="H66" s="3">
        <v>81.349999999999994</v>
      </c>
      <c r="I66" s="4">
        <v>162.69999999999999</v>
      </c>
      <c r="J66" s="4">
        <v>116.1</v>
      </c>
      <c r="K66" s="4">
        <v>46.6</v>
      </c>
      <c r="L66" t="s">
        <v>39</v>
      </c>
    </row>
    <row r="67" spans="1:12">
      <c r="A67">
        <v>66</v>
      </c>
      <c r="B67" s="1">
        <v>46073</v>
      </c>
      <c r="C67" t="s">
        <v>28</v>
      </c>
      <c r="D67" t="s">
        <v>20</v>
      </c>
      <c r="E67" t="s">
        <v>15</v>
      </c>
      <c r="F67" t="s">
        <v>54</v>
      </c>
      <c r="G67">
        <v>4</v>
      </c>
      <c r="H67" s="3">
        <v>509.11</v>
      </c>
      <c r="I67" s="4">
        <v>2036.44</v>
      </c>
      <c r="J67" s="4">
        <v>1338.14</v>
      </c>
      <c r="K67" s="4">
        <v>698.3</v>
      </c>
      <c r="L67" t="s">
        <v>39</v>
      </c>
    </row>
    <row r="68" spans="1:12">
      <c r="A68">
        <v>67</v>
      </c>
      <c r="B68" s="1">
        <v>46111</v>
      </c>
      <c r="C68" t="s">
        <v>19</v>
      </c>
      <c r="D68" t="s">
        <v>23</v>
      </c>
      <c r="E68" t="s">
        <v>30</v>
      </c>
      <c r="F68" t="s">
        <v>33</v>
      </c>
      <c r="G68">
        <v>5</v>
      </c>
      <c r="H68" s="3">
        <v>378.68</v>
      </c>
      <c r="I68" s="4">
        <v>1893.4</v>
      </c>
      <c r="J68" s="4">
        <v>1441.47</v>
      </c>
      <c r="K68" s="4">
        <v>451.93</v>
      </c>
      <c r="L68" t="s">
        <v>26</v>
      </c>
    </row>
    <row r="69" spans="1:12">
      <c r="A69">
        <v>68</v>
      </c>
      <c r="B69" s="1">
        <v>46050</v>
      </c>
      <c r="C69" t="s">
        <v>67</v>
      </c>
      <c r="D69" t="s">
        <v>29</v>
      </c>
      <c r="E69" t="s">
        <v>15</v>
      </c>
      <c r="F69" t="s">
        <v>54</v>
      </c>
      <c r="G69">
        <v>4</v>
      </c>
      <c r="H69" s="3">
        <v>255.69</v>
      </c>
      <c r="I69" s="4">
        <v>1022.76</v>
      </c>
      <c r="J69" s="4">
        <v>789.6</v>
      </c>
      <c r="K69" s="4">
        <v>233.16</v>
      </c>
      <c r="L69" t="s">
        <v>17</v>
      </c>
    </row>
    <row r="70" spans="1:12">
      <c r="A70">
        <v>69</v>
      </c>
      <c r="B70" s="1">
        <v>46092</v>
      </c>
      <c r="C70" t="s">
        <v>59</v>
      </c>
      <c r="D70" t="s">
        <v>23</v>
      </c>
      <c r="E70" t="s">
        <v>24</v>
      </c>
      <c r="F70" t="s">
        <v>25</v>
      </c>
      <c r="G70">
        <v>5</v>
      </c>
      <c r="H70" s="3">
        <v>152.84</v>
      </c>
      <c r="I70" s="4">
        <v>764.2</v>
      </c>
      <c r="J70" s="4">
        <v>619.52</v>
      </c>
      <c r="K70" s="4">
        <v>144.68</v>
      </c>
      <c r="L70" t="s">
        <v>17</v>
      </c>
    </row>
    <row r="71" spans="1:12">
      <c r="A71">
        <v>70</v>
      </c>
      <c r="B71" s="1">
        <v>46045</v>
      </c>
      <c r="C71" t="s">
        <v>74</v>
      </c>
      <c r="D71" t="s">
        <v>23</v>
      </c>
      <c r="E71" t="s">
        <v>46</v>
      </c>
      <c r="F71" t="s">
        <v>50</v>
      </c>
      <c r="G71">
        <v>2</v>
      </c>
      <c r="H71" s="3">
        <v>45.78</v>
      </c>
      <c r="I71" s="4">
        <v>91.56</v>
      </c>
      <c r="J71" s="4">
        <v>70.89</v>
      </c>
      <c r="K71" s="4">
        <v>20.67</v>
      </c>
      <c r="L71" t="s">
        <v>44</v>
      </c>
    </row>
    <row r="72" spans="1:12">
      <c r="A72">
        <v>71</v>
      </c>
      <c r="B72" s="1">
        <v>46069</v>
      </c>
      <c r="C72" t="s">
        <v>70</v>
      </c>
      <c r="D72" t="s">
        <v>20</v>
      </c>
      <c r="E72" t="s">
        <v>46</v>
      </c>
      <c r="F72" t="s">
        <v>47</v>
      </c>
      <c r="G72">
        <v>4</v>
      </c>
      <c r="H72" s="3">
        <v>16.77</v>
      </c>
      <c r="I72" s="4">
        <v>67.08</v>
      </c>
      <c r="J72" s="4">
        <v>52.31</v>
      </c>
      <c r="K72" s="4">
        <v>14.77</v>
      </c>
      <c r="L72" t="s">
        <v>26</v>
      </c>
    </row>
    <row r="73" spans="1:12">
      <c r="A73">
        <v>72</v>
      </c>
      <c r="B73" s="1">
        <v>46093</v>
      </c>
      <c r="C73" t="s">
        <v>19</v>
      </c>
      <c r="D73" t="s">
        <v>14</v>
      </c>
      <c r="E73" t="s">
        <v>30</v>
      </c>
      <c r="F73" t="s">
        <v>80</v>
      </c>
      <c r="G73">
        <v>5</v>
      </c>
      <c r="H73" s="3">
        <v>29.58</v>
      </c>
      <c r="I73" s="4">
        <v>147.9</v>
      </c>
      <c r="J73" s="4">
        <v>109.35</v>
      </c>
      <c r="K73" s="4">
        <v>38.549999999999997</v>
      </c>
      <c r="L73" t="s">
        <v>44</v>
      </c>
    </row>
    <row r="74" spans="1:12">
      <c r="A74">
        <v>73</v>
      </c>
      <c r="B74" s="1">
        <v>46084</v>
      </c>
      <c r="C74" t="s">
        <v>22</v>
      </c>
      <c r="D74" t="s">
        <v>23</v>
      </c>
      <c r="E74" t="s">
        <v>15</v>
      </c>
      <c r="F74" t="s">
        <v>43</v>
      </c>
      <c r="G74">
        <v>4</v>
      </c>
      <c r="H74" s="3">
        <v>374.42</v>
      </c>
      <c r="I74" s="4">
        <v>1497.68</v>
      </c>
      <c r="J74" s="4">
        <v>1048.22</v>
      </c>
      <c r="K74" s="4">
        <v>449.46</v>
      </c>
      <c r="L74" t="s">
        <v>17</v>
      </c>
    </row>
    <row r="75" spans="1:12">
      <c r="A75">
        <v>74</v>
      </c>
      <c r="B75" s="1">
        <v>46085</v>
      </c>
      <c r="C75" t="s">
        <v>74</v>
      </c>
      <c r="D75" t="s">
        <v>29</v>
      </c>
      <c r="E75" t="s">
        <v>46</v>
      </c>
      <c r="F75" t="s">
        <v>61</v>
      </c>
      <c r="G75">
        <v>2</v>
      </c>
      <c r="H75" s="3">
        <v>47.68</v>
      </c>
      <c r="I75" s="4">
        <v>95.36</v>
      </c>
      <c r="J75" s="4">
        <v>62.86</v>
      </c>
      <c r="K75" s="4">
        <v>32.5</v>
      </c>
      <c r="L75" t="s">
        <v>17</v>
      </c>
    </row>
    <row r="76" spans="1:12">
      <c r="A76">
        <v>75</v>
      </c>
      <c r="B76" s="1">
        <v>46202</v>
      </c>
      <c r="C76" t="s">
        <v>70</v>
      </c>
      <c r="D76" t="s">
        <v>29</v>
      </c>
      <c r="E76" t="s">
        <v>30</v>
      </c>
      <c r="F76" t="s">
        <v>38</v>
      </c>
      <c r="G76">
        <v>5</v>
      </c>
      <c r="H76" s="3">
        <v>149.6</v>
      </c>
      <c r="I76" s="4">
        <v>748</v>
      </c>
      <c r="J76" s="4">
        <v>478.21</v>
      </c>
      <c r="K76" s="4">
        <v>269.79000000000002</v>
      </c>
      <c r="L76" t="s">
        <v>26</v>
      </c>
    </row>
    <row r="77" spans="1:12">
      <c r="A77">
        <v>76</v>
      </c>
      <c r="B77" s="1">
        <v>46160</v>
      </c>
      <c r="C77" t="s">
        <v>22</v>
      </c>
      <c r="D77" t="s">
        <v>20</v>
      </c>
      <c r="E77" t="s">
        <v>30</v>
      </c>
      <c r="F77" t="s">
        <v>31</v>
      </c>
      <c r="G77">
        <v>2</v>
      </c>
      <c r="H77" s="3">
        <v>32.07</v>
      </c>
      <c r="I77" s="4">
        <v>64.14</v>
      </c>
      <c r="J77" s="4">
        <v>40.74</v>
      </c>
      <c r="K77" s="4">
        <v>23.4</v>
      </c>
      <c r="L77" t="s">
        <v>44</v>
      </c>
    </row>
    <row r="78" spans="1:12">
      <c r="A78">
        <v>77</v>
      </c>
      <c r="B78" s="1">
        <v>46157</v>
      </c>
      <c r="C78" t="s">
        <v>59</v>
      </c>
      <c r="D78" t="s">
        <v>29</v>
      </c>
      <c r="E78" t="s">
        <v>24</v>
      </c>
      <c r="F78" t="s">
        <v>25</v>
      </c>
      <c r="G78">
        <v>5</v>
      </c>
      <c r="H78" s="3">
        <v>182.95</v>
      </c>
      <c r="I78" s="4">
        <v>914.75</v>
      </c>
      <c r="J78" s="4">
        <v>744.32</v>
      </c>
      <c r="K78" s="4">
        <v>170.43</v>
      </c>
      <c r="L78" t="s">
        <v>39</v>
      </c>
    </row>
    <row r="79" spans="1:12">
      <c r="A79">
        <v>78</v>
      </c>
      <c r="B79" s="1">
        <v>46204</v>
      </c>
      <c r="C79" t="s">
        <v>19</v>
      </c>
      <c r="D79" t="s">
        <v>20</v>
      </c>
      <c r="E79" t="s">
        <v>24</v>
      </c>
      <c r="F79" t="s">
        <v>83</v>
      </c>
      <c r="G79">
        <v>2</v>
      </c>
      <c r="H79" s="3">
        <v>88.67</v>
      </c>
      <c r="I79" s="4">
        <v>177.34</v>
      </c>
      <c r="J79" s="4">
        <v>112.01</v>
      </c>
      <c r="K79" s="4">
        <v>65.33</v>
      </c>
      <c r="L79" t="s">
        <v>26</v>
      </c>
    </row>
    <row r="80" spans="1:12">
      <c r="A80">
        <v>79</v>
      </c>
      <c r="B80" s="1">
        <v>46148</v>
      </c>
      <c r="C80" t="s">
        <v>28</v>
      </c>
      <c r="D80" t="s">
        <v>14</v>
      </c>
      <c r="E80" t="s">
        <v>15</v>
      </c>
      <c r="F80" t="s">
        <v>16</v>
      </c>
      <c r="G80">
        <v>2</v>
      </c>
      <c r="H80" s="3">
        <v>1087.3499999999999</v>
      </c>
      <c r="I80" s="4">
        <v>2174.6999999999998</v>
      </c>
      <c r="J80" s="4">
        <v>1570.62</v>
      </c>
      <c r="K80" s="4">
        <v>604.08000000000004</v>
      </c>
      <c r="L80" t="s">
        <v>26</v>
      </c>
    </row>
    <row r="81" spans="1:12">
      <c r="A81">
        <v>80</v>
      </c>
      <c r="B81" s="1">
        <v>46087</v>
      </c>
      <c r="C81" t="s">
        <v>70</v>
      </c>
      <c r="D81" t="s">
        <v>14</v>
      </c>
      <c r="E81" t="s">
        <v>46</v>
      </c>
      <c r="F81" t="s">
        <v>47</v>
      </c>
      <c r="G81">
        <v>2</v>
      </c>
      <c r="H81" s="3">
        <v>20.420000000000002</v>
      </c>
      <c r="I81" s="4">
        <v>40.840000000000003</v>
      </c>
      <c r="J81" s="4">
        <v>33.11</v>
      </c>
      <c r="K81" s="4">
        <v>7.73</v>
      </c>
      <c r="L81" t="s">
        <v>39</v>
      </c>
    </row>
    <row r="82" spans="1:12">
      <c r="A82">
        <v>81</v>
      </c>
      <c r="B82" s="1">
        <v>46167</v>
      </c>
      <c r="C82" t="s">
        <v>74</v>
      </c>
      <c r="D82" t="s">
        <v>14</v>
      </c>
      <c r="E82" t="s">
        <v>46</v>
      </c>
      <c r="F82" t="s">
        <v>47</v>
      </c>
      <c r="G82">
        <v>1</v>
      </c>
      <c r="H82" s="3">
        <v>7.59</v>
      </c>
      <c r="I82" s="4">
        <v>7.59</v>
      </c>
      <c r="J82" s="4">
        <v>4.49</v>
      </c>
      <c r="K82" s="4">
        <v>3.1</v>
      </c>
      <c r="L82" t="s">
        <v>44</v>
      </c>
    </row>
    <row r="83" spans="1:12">
      <c r="A83">
        <v>82</v>
      </c>
      <c r="B83" s="1">
        <v>46156</v>
      </c>
      <c r="C83" t="s">
        <v>67</v>
      </c>
      <c r="D83" t="s">
        <v>23</v>
      </c>
      <c r="E83" t="s">
        <v>15</v>
      </c>
      <c r="F83" t="s">
        <v>77</v>
      </c>
      <c r="G83">
        <v>5</v>
      </c>
      <c r="H83" s="3">
        <v>724.42</v>
      </c>
      <c r="I83" s="4">
        <v>3622.1</v>
      </c>
      <c r="J83" s="4">
        <v>2212.87</v>
      </c>
      <c r="K83" s="4">
        <v>1409.23</v>
      </c>
      <c r="L83" t="s">
        <v>17</v>
      </c>
    </row>
    <row r="84" spans="1:12">
      <c r="A84">
        <v>83</v>
      </c>
      <c r="B84" s="1">
        <v>46048</v>
      </c>
      <c r="C84" t="s">
        <v>35</v>
      </c>
      <c r="D84" t="s">
        <v>20</v>
      </c>
      <c r="E84" t="s">
        <v>30</v>
      </c>
      <c r="F84" t="s">
        <v>38</v>
      </c>
      <c r="G84">
        <v>5</v>
      </c>
      <c r="H84" s="3">
        <v>66.650000000000006</v>
      </c>
      <c r="I84" s="4">
        <v>333.25</v>
      </c>
      <c r="J84" s="4">
        <v>188.71</v>
      </c>
      <c r="K84" s="4">
        <v>144.54</v>
      </c>
      <c r="L84" t="s">
        <v>26</v>
      </c>
    </row>
    <row r="85" spans="1:12">
      <c r="A85">
        <v>84</v>
      </c>
      <c r="B85" s="1">
        <v>46023</v>
      </c>
      <c r="C85" t="s">
        <v>67</v>
      </c>
      <c r="D85" t="s">
        <v>23</v>
      </c>
      <c r="E85" t="s">
        <v>15</v>
      </c>
      <c r="F85" t="s">
        <v>43</v>
      </c>
      <c r="G85">
        <v>5</v>
      </c>
      <c r="H85" s="3">
        <v>244.76</v>
      </c>
      <c r="I85" s="4">
        <v>1223.8</v>
      </c>
      <c r="J85" s="4">
        <v>697.89</v>
      </c>
      <c r="K85" s="4">
        <v>525.91</v>
      </c>
      <c r="L85" t="s">
        <v>17</v>
      </c>
    </row>
    <row r="86" spans="1:12">
      <c r="A86">
        <v>85</v>
      </c>
      <c r="B86" s="1">
        <v>46139</v>
      </c>
      <c r="C86" t="s">
        <v>28</v>
      </c>
      <c r="D86" t="s">
        <v>20</v>
      </c>
      <c r="E86" t="s">
        <v>30</v>
      </c>
      <c r="F86" t="s">
        <v>33</v>
      </c>
      <c r="G86">
        <v>3</v>
      </c>
      <c r="H86" s="3">
        <v>181.02</v>
      </c>
      <c r="I86" s="4">
        <v>543.05999999999995</v>
      </c>
      <c r="J86" s="4">
        <v>401.76</v>
      </c>
      <c r="K86" s="4">
        <v>141.30000000000001</v>
      </c>
      <c r="L86" t="s">
        <v>26</v>
      </c>
    </row>
    <row r="87" spans="1:12">
      <c r="A87">
        <v>86</v>
      </c>
      <c r="B87" s="1">
        <v>46091</v>
      </c>
      <c r="C87" t="s">
        <v>53</v>
      </c>
      <c r="D87" t="s">
        <v>14</v>
      </c>
      <c r="E87" t="s">
        <v>24</v>
      </c>
      <c r="F87" t="s">
        <v>25</v>
      </c>
      <c r="G87">
        <v>2</v>
      </c>
      <c r="H87" s="3">
        <v>134.43</v>
      </c>
      <c r="I87" s="4">
        <v>268.86</v>
      </c>
      <c r="J87" s="4">
        <v>194.89</v>
      </c>
      <c r="K87" s="4">
        <v>73.97</v>
      </c>
      <c r="L87" t="s">
        <v>39</v>
      </c>
    </row>
    <row r="88" spans="1:12">
      <c r="A88">
        <v>87</v>
      </c>
      <c r="B88" s="1">
        <v>46135</v>
      </c>
      <c r="C88" t="s">
        <v>28</v>
      </c>
      <c r="D88" t="s">
        <v>23</v>
      </c>
      <c r="E88" t="s">
        <v>24</v>
      </c>
      <c r="F88" t="s">
        <v>83</v>
      </c>
      <c r="G88">
        <v>5</v>
      </c>
      <c r="H88" s="3">
        <v>151.16</v>
      </c>
      <c r="I88" s="4">
        <v>755.8</v>
      </c>
      <c r="J88" s="4">
        <v>603.66999999999996</v>
      </c>
      <c r="K88" s="4">
        <v>152.13</v>
      </c>
      <c r="L88" t="s">
        <v>26</v>
      </c>
    </row>
    <row r="89" spans="1:12">
      <c r="A89">
        <v>88</v>
      </c>
      <c r="B89" s="1">
        <v>46176</v>
      </c>
      <c r="C89" t="s">
        <v>49</v>
      </c>
      <c r="D89" t="s">
        <v>23</v>
      </c>
      <c r="E89" t="s">
        <v>46</v>
      </c>
      <c r="F89" t="s">
        <v>50</v>
      </c>
      <c r="G89">
        <v>4</v>
      </c>
      <c r="H89" s="3">
        <v>60.04</v>
      </c>
      <c r="I89" s="4">
        <v>240.16</v>
      </c>
      <c r="J89" s="4">
        <v>160.47</v>
      </c>
      <c r="K89" s="4">
        <v>79.69</v>
      </c>
      <c r="L89" t="s">
        <v>26</v>
      </c>
    </row>
    <row r="90" spans="1:12">
      <c r="A90">
        <v>89</v>
      </c>
      <c r="B90" s="1">
        <v>46028</v>
      </c>
      <c r="C90" t="s">
        <v>13</v>
      </c>
      <c r="D90" t="s">
        <v>29</v>
      </c>
      <c r="E90" t="s">
        <v>30</v>
      </c>
      <c r="F90" t="s">
        <v>33</v>
      </c>
      <c r="G90">
        <v>5</v>
      </c>
      <c r="H90" s="3">
        <v>131.96</v>
      </c>
      <c r="I90" s="4">
        <v>659.8</v>
      </c>
      <c r="J90" s="4">
        <v>467.48</v>
      </c>
      <c r="K90" s="4">
        <v>192.32</v>
      </c>
      <c r="L90" t="s">
        <v>39</v>
      </c>
    </row>
    <row r="91" spans="1:12">
      <c r="A91">
        <v>90</v>
      </c>
      <c r="B91" s="1">
        <v>46069</v>
      </c>
      <c r="C91" t="s">
        <v>59</v>
      </c>
      <c r="D91" t="s">
        <v>23</v>
      </c>
      <c r="E91" t="s">
        <v>24</v>
      </c>
      <c r="F91" t="s">
        <v>25</v>
      </c>
      <c r="G91">
        <v>4</v>
      </c>
      <c r="H91" s="3">
        <v>255.69</v>
      </c>
      <c r="I91" s="4">
        <v>1022.76</v>
      </c>
      <c r="J91" s="4">
        <v>815.49</v>
      </c>
      <c r="K91" s="4">
        <v>207.27</v>
      </c>
      <c r="L91" t="s">
        <v>17</v>
      </c>
    </row>
    <row r="92" spans="1:12">
      <c r="A92">
        <v>91</v>
      </c>
      <c r="B92" s="1">
        <v>46049</v>
      </c>
      <c r="C92" t="s">
        <v>53</v>
      </c>
      <c r="D92" t="s">
        <v>29</v>
      </c>
      <c r="E92" t="s">
        <v>15</v>
      </c>
      <c r="F92" t="s">
        <v>77</v>
      </c>
      <c r="G92">
        <v>3</v>
      </c>
      <c r="H92" s="3">
        <v>543.57000000000005</v>
      </c>
      <c r="I92" s="4">
        <v>1630.71</v>
      </c>
      <c r="J92" s="4">
        <v>1038.25</v>
      </c>
      <c r="K92" s="4">
        <v>592.46</v>
      </c>
      <c r="L92" t="s">
        <v>17</v>
      </c>
    </row>
    <row r="93" spans="1:12">
      <c r="A93">
        <v>92</v>
      </c>
      <c r="B93" s="1">
        <v>46163</v>
      </c>
      <c r="C93" t="s">
        <v>49</v>
      </c>
      <c r="D93" t="s">
        <v>23</v>
      </c>
      <c r="E93" t="s">
        <v>46</v>
      </c>
      <c r="F93" t="s">
        <v>50</v>
      </c>
      <c r="G93">
        <v>4</v>
      </c>
      <c r="H93" s="3">
        <v>73.010000000000005</v>
      </c>
      <c r="I93" s="4">
        <v>292.04000000000002</v>
      </c>
      <c r="J93" s="4">
        <v>224.77</v>
      </c>
      <c r="K93" s="4">
        <v>67.27</v>
      </c>
      <c r="L93" t="s">
        <v>39</v>
      </c>
    </row>
    <row r="94" spans="1:12">
      <c r="A94">
        <v>93</v>
      </c>
      <c r="B94" s="1">
        <v>46023</v>
      </c>
      <c r="C94" t="s">
        <v>13</v>
      </c>
      <c r="D94" t="s">
        <v>23</v>
      </c>
      <c r="E94" t="s">
        <v>30</v>
      </c>
      <c r="F94" t="s">
        <v>80</v>
      </c>
      <c r="G94">
        <v>4</v>
      </c>
      <c r="H94" s="3">
        <v>32.630000000000003</v>
      </c>
      <c r="I94" s="4">
        <v>130.52000000000001</v>
      </c>
      <c r="J94" s="4">
        <v>102.27</v>
      </c>
      <c r="K94" s="4">
        <v>28.25</v>
      </c>
      <c r="L94" t="s">
        <v>17</v>
      </c>
    </row>
    <row r="95" spans="1:12">
      <c r="A95">
        <v>94</v>
      </c>
      <c r="B95" s="1">
        <v>46183</v>
      </c>
      <c r="C95" t="s">
        <v>70</v>
      </c>
      <c r="D95" t="s">
        <v>14</v>
      </c>
      <c r="E95" t="s">
        <v>15</v>
      </c>
      <c r="F95" t="s">
        <v>43</v>
      </c>
      <c r="G95">
        <v>5</v>
      </c>
      <c r="H95" s="3">
        <v>319.98</v>
      </c>
      <c r="I95" s="4">
        <v>1599.9</v>
      </c>
      <c r="J95" s="4">
        <v>1206.71</v>
      </c>
      <c r="K95" s="4">
        <v>393.19</v>
      </c>
      <c r="L95" t="s">
        <v>44</v>
      </c>
    </row>
    <row r="96" spans="1:12">
      <c r="A96">
        <v>95</v>
      </c>
      <c r="B96" s="1">
        <v>46147</v>
      </c>
      <c r="C96" t="s">
        <v>28</v>
      </c>
      <c r="D96" t="s">
        <v>14</v>
      </c>
      <c r="E96" t="s">
        <v>30</v>
      </c>
      <c r="F96" t="s">
        <v>31</v>
      </c>
      <c r="G96">
        <v>4</v>
      </c>
      <c r="H96" s="3">
        <v>112.77</v>
      </c>
      <c r="I96" s="4">
        <v>451.08</v>
      </c>
      <c r="J96" s="4">
        <v>355.37</v>
      </c>
      <c r="K96" s="4">
        <v>95.71</v>
      </c>
      <c r="L96" t="s">
        <v>44</v>
      </c>
    </row>
    <row r="97" spans="1:12">
      <c r="A97">
        <v>96</v>
      </c>
      <c r="B97" s="1">
        <v>46080</v>
      </c>
      <c r="C97" t="s">
        <v>28</v>
      </c>
      <c r="D97" t="s">
        <v>23</v>
      </c>
      <c r="E97" t="s">
        <v>24</v>
      </c>
      <c r="F97" t="s">
        <v>83</v>
      </c>
      <c r="G97">
        <v>5</v>
      </c>
      <c r="H97" s="3">
        <v>143.63999999999999</v>
      </c>
      <c r="I97" s="4">
        <v>718.2</v>
      </c>
      <c r="J97" s="4">
        <v>474.13</v>
      </c>
      <c r="K97" s="4">
        <v>244.07</v>
      </c>
      <c r="L97" t="s">
        <v>39</v>
      </c>
    </row>
    <row r="98" spans="1:12">
      <c r="A98">
        <v>97</v>
      </c>
      <c r="B98" s="1">
        <v>46092</v>
      </c>
      <c r="C98" t="s">
        <v>67</v>
      </c>
      <c r="D98" t="s">
        <v>23</v>
      </c>
      <c r="E98" t="s">
        <v>24</v>
      </c>
      <c r="F98" t="s">
        <v>25</v>
      </c>
      <c r="G98">
        <v>3</v>
      </c>
      <c r="H98" s="3">
        <v>379.8</v>
      </c>
      <c r="I98" s="4">
        <v>1139.4000000000001</v>
      </c>
      <c r="J98" s="4">
        <v>783.22</v>
      </c>
      <c r="K98" s="4">
        <v>356.18</v>
      </c>
      <c r="L98" t="s">
        <v>17</v>
      </c>
    </row>
    <row r="99" spans="1:12">
      <c r="A99">
        <v>98</v>
      </c>
      <c r="B99" s="1">
        <v>46176</v>
      </c>
      <c r="C99" t="s">
        <v>19</v>
      </c>
      <c r="D99" t="s">
        <v>20</v>
      </c>
      <c r="E99" t="s">
        <v>24</v>
      </c>
      <c r="F99" t="s">
        <v>25</v>
      </c>
      <c r="G99">
        <v>4</v>
      </c>
      <c r="H99" s="3">
        <v>265.38</v>
      </c>
      <c r="I99" s="4">
        <v>1061.52</v>
      </c>
      <c r="J99" s="4">
        <v>638.47</v>
      </c>
      <c r="K99" s="4">
        <v>423.05</v>
      </c>
      <c r="L99" t="s">
        <v>39</v>
      </c>
    </row>
    <row r="100" spans="1:12">
      <c r="A100">
        <v>99</v>
      </c>
      <c r="B100" s="1">
        <v>46023</v>
      </c>
      <c r="C100" t="s">
        <v>74</v>
      </c>
      <c r="D100" t="s">
        <v>29</v>
      </c>
      <c r="E100" t="s">
        <v>30</v>
      </c>
      <c r="F100" t="s">
        <v>38</v>
      </c>
      <c r="G100">
        <v>5</v>
      </c>
      <c r="H100" s="3">
        <v>70.790000000000006</v>
      </c>
      <c r="I100" s="4">
        <v>353.95</v>
      </c>
      <c r="J100" s="4">
        <v>220.21</v>
      </c>
      <c r="K100" s="4">
        <v>133.74</v>
      </c>
      <c r="L100" t="s">
        <v>17</v>
      </c>
    </row>
    <row r="101" spans="1:12">
      <c r="A101">
        <v>100</v>
      </c>
      <c r="B101" s="1">
        <v>46162</v>
      </c>
      <c r="C101" t="s">
        <v>67</v>
      </c>
      <c r="D101" t="s">
        <v>23</v>
      </c>
      <c r="E101" t="s">
        <v>24</v>
      </c>
      <c r="F101" t="s">
        <v>25</v>
      </c>
      <c r="G101">
        <v>3</v>
      </c>
      <c r="H101" s="3">
        <v>261.57</v>
      </c>
      <c r="I101" s="4">
        <v>784.71</v>
      </c>
      <c r="J101" s="4">
        <v>502.03</v>
      </c>
      <c r="K101" s="4">
        <v>282.68</v>
      </c>
      <c r="L101" t="s">
        <v>26</v>
      </c>
    </row>
    <row r="102" spans="1:12">
      <c r="G102">
        <f>SUM(Table1[Quantity])</f>
        <v>320</v>
      </c>
      <c r="H102" s="7">
        <f>-SUM(Table1[Unit_Price])</f>
        <v>-25120.019999999986</v>
      </c>
      <c r="I102" s="7">
        <f>-SUM(Table1[Sales])</f>
        <v>-80113.34</v>
      </c>
      <c r="J102" s="7">
        <f>-SUM(Table1[Cost])</f>
        <v>-53579.829999999973</v>
      </c>
      <c r="K102" s="7">
        <f>-SUM(Table1[Profit])</f>
        <v>-26533.509999999995</v>
      </c>
    </row>
    <row r="1048576" spans="11:11">
      <c r="K1048576" s="4">
        <f>SUM(K2:K1048575)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CB6D-BEA6-45CC-BEF3-61F4F2CA34B1}">
  <dimension ref="A3:F36"/>
  <sheetViews>
    <sheetView workbookViewId="0">
      <selection activeCell="C17" sqref="C17"/>
    </sheetView>
  </sheetViews>
  <sheetFormatPr defaultRowHeight="15"/>
  <cols>
    <col min="1" max="1" width="12" bestFit="1" customWidth="1"/>
    <col min="2" max="2" width="14.28515625" bestFit="1" customWidth="1"/>
    <col min="3" max="3" width="22.85546875" bestFit="1" customWidth="1"/>
    <col min="4" max="4" width="9" customWidth="1"/>
    <col min="5" max="6" width="14.28515625" bestFit="1" customWidth="1"/>
  </cols>
  <sheetData>
    <row r="3" spans="1:6">
      <c r="A3" s="5" t="s">
        <v>3</v>
      </c>
      <c r="B3" t="s">
        <v>152</v>
      </c>
      <c r="E3" s="5" t="s">
        <v>2</v>
      </c>
      <c r="F3" t="s">
        <v>152</v>
      </c>
    </row>
    <row r="4" spans="1:6">
      <c r="A4" s="6" t="s">
        <v>14</v>
      </c>
      <c r="B4" s="4">
        <v>17934.090000000004</v>
      </c>
      <c r="E4" s="6" t="s">
        <v>28</v>
      </c>
      <c r="F4" s="4">
        <v>15288.39</v>
      </c>
    </row>
    <row r="5" spans="1:6">
      <c r="A5" s="6" t="s">
        <v>20</v>
      </c>
      <c r="B5" s="4">
        <v>21855.59</v>
      </c>
      <c r="E5" s="6" t="s">
        <v>70</v>
      </c>
      <c r="F5" s="4">
        <v>10203.19</v>
      </c>
    </row>
    <row r="6" spans="1:6">
      <c r="A6" s="6" t="s">
        <v>29</v>
      </c>
      <c r="B6" s="4">
        <v>16504.180000000004</v>
      </c>
      <c r="E6" s="6" t="s">
        <v>13</v>
      </c>
      <c r="F6" s="4">
        <v>9385.84</v>
      </c>
    </row>
    <row r="7" spans="1:6">
      <c r="A7" s="6" t="s">
        <v>23</v>
      </c>
      <c r="B7" s="4">
        <v>23819.48</v>
      </c>
      <c r="E7" s="6" t="s">
        <v>35</v>
      </c>
      <c r="F7" s="4">
        <v>8603.65</v>
      </c>
    </row>
    <row r="8" spans="1:6">
      <c r="A8" s="6" t="s">
        <v>153</v>
      </c>
      <c r="B8" s="4">
        <v>80113.340000000011</v>
      </c>
      <c r="E8" s="6" t="s">
        <v>67</v>
      </c>
      <c r="F8" s="4">
        <v>8369.9700000000012</v>
      </c>
    </row>
    <row r="9" spans="1:6">
      <c r="E9" s="6" t="s">
        <v>53</v>
      </c>
      <c r="F9" s="4">
        <v>7474.55</v>
      </c>
    </row>
    <row r="10" spans="1:6">
      <c r="E10" s="6" t="s">
        <v>19</v>
      </c>
      <c r="F10" s="4">
        <v>7069.0400000000009</v>
      </c>
    </row>
    <row r="11" spans="1:6">
      <c r="A11" s="5" t="s">
        <v>4</v>
      </c>
      <c r="B11" t="s">
        <v>152</v>
      </c>
      <c r="C11" s="4" t="s">
        <v>154</v>
      </c>
      <c r="E11" s="6" t="s">
        <v>59</v>
      </c>
      <c r="F11" s="4">
        <v>5340.2400000000007</v>
      </c>
    </row>
    <row r="12" spans="1:6">
      <c r="A12" s="6" t="s">
        <v>15</v>
      </c>
      <c r="B12" s="4">
        <v>48355.840000000004</v>
      </c>
      <c r="C12" s="4">
        <v>16788.659999999996</v>
      </c>
      <c r="E12" s="6" t="s">
        <v>22</v>
      </c>
      <c r="F12" s="4">
        <v>3175.2999999999997</v>
      </c>
    </row>
    <row r="13" spans="1:6">
      <c r="A13" s="6" t="s">
        <v>30</v>
      </c>
      <c r="B13" s="4">
        <v>13079.909999999998</v>
      </c>
      <c r="C13" s="4">
        <v>4111.130000000001</v>
      </c>
      <c r="E13" s="6" t="s">
        <v>49</v>
      </c>
      <c r="F13" s="4">
        <v>2191.7400000000002</v>
      </c>
    </row>
    <row r="14" spans="1:6">
      <c r="A14" s="6" t="s">
        <v>24</v>
      </c>
      <c r="B14" s="4">
        <v>12861.45</v>
      </c>
      <c r="C14" s="4">
        <v>3888.54</v>
      </c>
      <c r="E14" s="6" t="s">
        <v>74</v>
      </c>
      <c r="F14" s="4">
        <v>1930.8999999999999</v>
      </c>
    </row>
    <row r="15" spans="1:6">
      <c r="A15" s="6" t="s">
        <v>46</v>
      </c>
      <c r="B15" s="4">
        <v>5816.14</v>
      </c>
      <c r="C15" s="4">
        <v>1745.1799999999998</v>
      </c>
      <c r="E15" s="6" t="s">
        <v>57</v>
      </c>
      <c r="F15" s="4">
        <v>1080.53</v>
      </c>
    </row>
    <row r="16" spans="1:6">
      <c r="A16" s="6" t="s">
        <v>153</v>
      </c>
      <c r="B16" s="4">
        <v>80113.340000000011</v>
      </c>
      <c r="C16" s="4">
        <v>26533.51</v>
      </c>
      <c r="E16" s="6" t="s">
        <v>153</v>
      </c>
      <c r="F16" s="4">
        <v>80113.340000000011</v>
      </c>
    </row>
    <row r="17" spans="1:6">
      <c r="C17" s="2">
        <f>GETPIVOTDATA("Sum of Profit",$A$11)/GETPIVOTDATA("Sum of Sales",$A$11)%</f>
        <v>33.119964789883923</v>
      </c>
    </row>
    <row r="19" spans="1:6">
      <c r="A19" s="5" t="s">
        <v>5</v>
      </c>
      <c r="B19" t="s">
        <v>152</v>
      </c>
      <c r="E19" s="5" t="s">
        <v>4</v>
      </c>
      <c r="F19" t="s">
        <v>152</v>
      </c>
    </row>
    <row r="20" spans="1:6">
      <c r="A20" s="6" t="s">
        <v>25</v>
      </c>
      <c r="B20" s="4">
        <v>7993.4900000000007</v>
      </c>
      <c r="E20" s="6" t="s">
        <v>15</v>
      </c>
      <c r="F20" s="4">
        <v>48355.840000000004</v>
      </c>
    </row>
    <row r="21" spans="1:6">
      <c r="A21" s="6" t="s">
        <v>54</v>
      </c>
      <c r="B21" s="4">
        <v>9187.27</v>
      </c>
      <c r="E21" s="6" t="s">
        <v>30</v>
      </c>
      <c r="F21" s="4">
        <v>13079.909999999998</v>
      </c>
    </row>
    <row r="22" spans="1:6">
      <c r="A22" s="6" t="s">
        <v>77</v>
      </c>
      <c r="B22" s="4">
        <v>10138.75</v>
      </c>
      <c r="E22" s="6" t="s">
        <v>24</v>
      </c>
      <c r="F22" s="4">
        <v>12861.45</v>
      </c>
    </row>
    <row r="23" spans="1:6">
      <c r="A23" s="6" t="s">
        <v>43</v>
      </c>
      <c r="B23" s="4">
        <v>10329.73</v>
      </c>
      <c r="E23" s="6" t="s">
        <v>46</v>
      </c>
      <c r="F23" s="4">
        <v>5816.14</v>
      </c>
    </row>
    <row r="24" spans="1:6">
      <c r="A24" s="6" t="s">
        <v>16</v>
      </c>
      <c r="B24" s="4">
        <v>18700.09</v>
      </c>
      <c r="E24" s="6" t="s">
        <v>153</v>
      </c>
      <c r="F24" s="4">
        <v>80113.340000000011</v>
      </c>
    </row>
    <row r="25" spans="1:6">
      <c r="A25" s="6" t="s">
        <v>153</v>
      </c>
      <c r="B25" s="4">
        <v>56349.33</v>
      </c>
    </row>
    <row r="28" spans="1:6">
      <c r="A28" s="5" t="s">
        <v>155</v>
      </c>
      <c r="B28" t="s">
        <v>152</v>
      </c>
    </row>
    <row r="29" spans="1:6">
      <c r="A29" s="6" t="s">
        <v>156</v>
      </c>
      <c r="B29" s="4">
        <v>22191.8</v>
      </c>
    </row>
    <row r="30" spans="1:6">
      <c r="A30" s="6" t="s">
        <v>157</v>
      </c>
      <c r="B30" s="4">
        <v>11545.539999999999</v>
      </c>
    </row>
    <row r="31" spans="1:6">
      <c r="A31" s="6" t="s">
        <v>158</v>
      </c>
      <c r="B31" s="4">
        <v>11981.050000000003</v>
      </c>
    </row>
    <row r="32" spans="1:6">
      <c r="A32" s="6" t="s">
        <v>159</v>
      </c>
      <c r="B32" s="4">
        <v>9514.779999999997</v>
      </c>
    </row>
    <row r="33" spans="1:2">
      <c r="A33" s="6" t="s">
        <v>160</v>
      </c>
      <c r="B33" s="4">
        <v>17279.54</v>
      </c>
    </row>
    <row r="34" spans="1:2">
      <c r="A34" s="6" t="s">
        <v>161</v>
      </c>
      <c r="B34" s="4">
        <v>7423.2900000000009</v>
      </c>
    </row>
    <row r="35" spans="1:2">
      <c r="A35" s="6" t="s">
        <v>162</v>
      </c>
      <c r="B35" s="4">
        <v>177.34</v>
      </c>
    </row>
    <row r="36" spans="1:2">
      <c r="A36" s="6" t="s">
        <v>153</v>
      </c>
      <c r="B36" s="4">
        <v>80113.34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B488-5E19-4465-A8F9-4B1AB094F2C9}">
  <dimension ref="A1"/>
  <sheetViews>
    <sheetView tabSelected="1" topLeftCell="C1" workbookViewId="0">
      <selection activeCell="H46" sqref="H4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Kyal Sin Phyo Wai</cp:lastModifiedBy>
  <cp:revision/>
  <dcterms:created xsi:type="dcterms:W3CDTF">2026-09-19T04:33:23Z</dcterms:created>
  <dcterms:modified xsi:type="dcterms:W3CDTF">2026-10-09T06:35:20Z</dcterms:modified>
  <cp:category/>
  <cp:contentStatus/>
</cp:coreProperties>
</file>